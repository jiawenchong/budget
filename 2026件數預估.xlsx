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件數預估" sheetId="1" state="visible" r:id="rId3"/>
    <sheet name="公式說明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2026/1/1 ~ 8/5 = 217 </t>
        </r>
        <r>
          <rPr>
            <sz val="10"/>
            <rFont val="Noto Sans CJK SC"/>
            <family val="2"/>
          </rPr>
          <t xml:space="preserve">天。日期若更新，改這格即可。</t>
        </r>
      </text>
    </comment>
  </commentList>
</comments>
</file>

<file path=xl/sharedStrings.xml><?xml version="1.0" encoding="utf-8"?>
<sst xmlns="http://schemas.openxmlformats.org/spreadsheetml/2006/main" count="67" uniqueCount="67">
  <si>
    <r>
      <rPr>
        <b val="true"/>
        <sz val="14"/>
        <color rgb="FFFFFFFF"/>
        <rFont val="Noto Sans CJK SC"/>
        <family val="2"/>
      </rPr>
      <t xml:space="preserve">系統別 </t>
    </r>
    <r>
      <rPr>
        <b val="true"/>
        <sz val="14"/>
        <color rgb="FFFFFFFF"/>
        <rFont val="Arial"/>
        <family val="0"/>
        <charset val="1"/>
      </rPr>
      <t xml:space="preserve">2026 </t>
    </r>
    <r>
      <rPr>
        <b val="true"/>
        <sz val="14"/>
        <color rgb="FFFFFFFF"/>
        <rFont val="Noto Sans CJK SC"/>
        <family val="2"/>
      </rPr>
      <t xml:space="preserve">全年件數預估（截至 </t>
    </r>
    <r>
      <rPr>
        <b val="true"/>
        <sz val="14"/>
        <color rgb="FFFFFFFF"/>
        <rFont val="Arial"/>
        <family val="0"/>
        <charset val="1"/>
      </rPr>
      <t xml:space="preserve">8/5 </t>
    </r>
    <r>
      <rPr>
        <b val="true"/>
        <sz val="14"/>
        <color rgb="FFFFFFFF"/>
        <rFont val="Noto Sans CJK SC"/>
        <family val="2"/>
      </rPr>
      <t xml:space="preserve">實際 → 全年 </t>
    </r>
    <r>
      <rPr>
        <b val="true"/>
        <sz val="14"/>
        <color rgb="FFFFFFFF"/>
        <rFont val="Arial"/>
        <family val="0"/>
        <charset val="1"/>
      </rPr>
      <t xml:space="preserve">/ </t>
    </r>
    <r>
      <rPr>
        <b val="true"/>
        <sz val="14"/>
        <color rgb="FFFFFFFF"/>
        <rFont val="Noto Sans CJK SC"/>
        <family val="2"/>
      </rPr>
      <t xml:space="preserve">剩餘）</t>
    </r>
  </si>
  <si>
    <t xml:space="preserve">參數</t>
  </si>
  <si>
    <t xml:space="preserve">已過天數</t>
  </si>
  <si>
    <t xml:space="preserve">全年天數</t>
  </si>
  <si>
    <r>
      <rPr>
        <i val="true"/>
        <sz val="9"/>
        <color rgb="FF555555"/>
        <rFont val="Noto Sans CJK SC"/>
        <family val="2"/>
      </rPr>
      <t xml:space="preserve">（黃底</t>
    </r>
    <r>
      <rPr>
        <i val="true"/>
        <sz val="9"/>
        <color rgb="FF555555"/>
        <rFont val="Arial"/>
        <family val="0"/>
        <charset val="1"/>
      </rPr>
      <t xml:space="preserve">=</t>
    </r>
    <r>
      <rPr>
        <i val="true"/>
        <sz val="9"/>
        <color rgb="FF555555"/>
        <rFont val="Noto Sans CJK SC"/>
        <family val="2"/>
      </rPr>
      <t xml:space="preserve">可修改；改了下面全部自動重算）</t>
    </r>
  </si>
  <si>
    <t xml:space="preserve">系統</t>
  </si>
  <si>
    <r>
      <rPr>
        <b val="true"/>
        <sz val="10"/>
        <color rgb="FFFFFFFF"/>
        <rFont val="Arial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全年</t>
    </r>
  </si>
  <si>
    <r>
      <rPr>
        <b val="true"/>
        <sz val="10"/>
        <color rgb="FFFFFFFF"/>
        <rFont val="Arial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全年</t>
    </r>
  </si>
  <si>
    <t xml:space="preserve">2024 H1</t>
  </si>
  <si>
    <t xml:space="preserve">2025 H1</t>
  </si>
  <si>
    <t xml:space="preserve">2026 H1</t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</si>
  <si>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至</t>
    </r>
    <r>
      <rPr>
        <b val="true"/>
        <sz val="10"/>
        <color rgb="FFFFFFFF"/>
        <rFont val="Arial"/>
        <family val="0"/>
        <charset val="1"/>
      </rPr>
      <t xml:space="preserve">8/5</t>
    </r>
  </si>
  <si>
    <r>
      <rPr>
        <b val="true"/>
        <sz val="10"/>
        <color rgb="FFFFFFFF"/>
        <rFont val="Noto Sans CJK SC"/>
        <family val="2"/>
      </rPr>
      <t xml:space="preserve">季節係數 </t>
    </r>
    <r>
      <rPr>
        <b val="true"/>
        <sz val="10"/>
        <color rgb="FFFFFFFF"/>
        <rFont val="Arial"/>
        <family val="0"/>
        <charset val="1"/>
      </rPr>
      <t xml:space="preserve">k</t>
    </r>
  </si>
  <si>
    <r>
      <rPr>
        <b val="true"/>
        <sz val="10"/>
        <color rgb="FFFFFFFF"/>
        <rFont val="Noto Sans CJK SC"/>
        <family val="2"/>
      </rPr>
      <t xml:space="preserve">法一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季節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</si>
  <si>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法二 </t>
    </r>
    <r>
      <rPr>
        <b val="true"/>
        <sz val="10"/>
        <color rgb="FFFFFFFF"/>
        <rFont val="Arial"/>
        <family val="0"/>
        <charset val="1"/>
      </rPr>
      <t xml:space="preserve">(H2</t>
    </r>
    <r>
      <rPr>
        <b val="true"/>
        <sz val="10"/>
        <color rgb="FFFFFFFF"/>
        <rFont val="Noto Sans CJK SC"/>
        <family val="2"/>
      </rPr>
      <t xml:space="preserve">年增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</si>
  <si>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線性推估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參考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</si>
  <si>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建議全年</t>
  </si>
  <si>
    <r>
      <rPr>
        <b val="true"/>
        <sz val="10"/>
        <color rgb="FFFFFFFF"/>
        <rFont val="Noto Sans CJK SC"/>
        <family val="2"/>
      </rPr>
      <t xml:space="preserve">剩餘 </t>
    </r>
    <r>
      <rPr>
        <b val="true"/>
        <sz val="10"/>
        <color rgb="FFFFFFFF"/>
        <rFont val="Arial"/>
        <family val="0"/>
        <charset val="1"/>
      </rPr>
      <t xml:space="preserve">(8/6–12/31)</t>
    </r>
  </si>
  <si>
    <r>
      <rPr>
        <b val="true"/>
        <sz val="10"/>
        <color rgb="FFFFFFFF"/>
        <rFont val="Noto Sans CJK SC"/>
        <family val="2"/>
      </rPr>
      <t xml:space="preserve">信心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註記</t>
    </r>
  </si>
  <si>
    <t xml:space="preserve">水務</t>
  </si>
  <si>
    <t xml:space="preserve">Relayout</t>
  </si>
  <si>
    <t xml:space="preserve">資安</t>
  </si>
  <si>
    <t xml:space="preserve">消防</t>
  </si>
  <si>
    <t xml:space="preserve">安全</t>
  </si>
  <si>
    <t xml:space="preserve">空調</t>
  </si>
  <si>
    <t xml:space="preserve">建管</t>
  </si>
  <si>
    <t xml:space="preserve">空壓</t>
  </si>
  <si>
    <t xml:space="preserve">電力</t>
  </si>
  <si>
    <t xml:space="preserve">二次配</t>
  </si>
  <si>
    <t xml:space="preserve">抽氣</t>
  </si>
  <si>
    <r>
      <rPr>
        <b val="true"/>
        <sz val="10"/>
        <rFont val="Arial"/>
        <family val="0"/>
        <charset val="1"/>
      </rPr>
      <t xml:space="preserve">AI</t>
    </r>
    <r>
      <rPr>
        <b val="true"/>
        <sz val="10"/>
        <rFont val="Noto Sans CJK SC"/>
        <family val="2"/>
      </rPr>
      <t xml:space="preserve">自動化</t>
    </r>
  </si>
  <si>
    <t xml:space="preserve">環保</t>
  </si>
  <si>
    <t xml:space="preserve">其他</t>
  </si>
  <si>
    <r>
      <rPr>
        <b val="true"/>
        <sz val="10"/>
        <rFont val="Noto Sans CJK SC"/>
        <family val="2"/>
      </rPr>
      <t xml:space="preserve">廢水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新建</t>
    </r>
  </si>
  <si>
    <t xml:space="preserve">總計</t>
  </si>
  <si>
    <r>
      <rPr>
        <i val="true"/>
        <sz val="9"/>
        <color rgb="FF555555"/>
        <rFont val="Noto Sans CJK SC"/>
        <family val="2"/>
      </rPr>
      <t xml:space="preserve">（</t>
    </r>
    <r>
      <rPr>
        <i val="true"/>
        <sz val="9"/>
        <color rgb="FF555555"/>
        <rFont val="Arial"/>
        <family val="0"/>
        <charset val="1"/>
      </rPr>
      <t xml:space="preserve">H1 </t>
    </r>
    <r>
      <rPr>
        <i val="true"/>
        <sz val="9"/>
        <color rgb="FF555555"/>
        <rFont val="Noto Sans CJK SC"/>
        <family val="2"/>
      </rPr>
      <t xml:space="preserve">欄僅 </t>
    </r>
    <r>
      <rPr>
        <i val="true"/>
        <sz val="9"/>
        <color rgb="FF555555"/>
        <rFont val="Arial"/>
        <family val="0"/>
        <charset val="1"/>
      </rPr>
      <t xml:space="preserve">5 </t>
    </r>
    <r>
      <rPr>
        <i val="true"/>
        <sz val="9"/>
        <color rgb="FF555555"/>
        <rFont val="Noto Sans CJK SC"/>
        <family val="2"/>
      </rPr>
      <t xml:space="preserve">系統有值）</t>
    </r>
  </si>
  <si>
    <t xml:space="preserve">系統別件數預估 — 方法與公式</t>
  </si>
  <si>
    <r>
      <rPr>
        <sz val="10"/>
        <color rgb="FFC00000"/>
        <rFont val="Noto Sans CJK SC"/>
        <family val="2"/>
      </rPr>
      <t xml:space="preserve">欄位對應（每一列 </t>
    </r>
    <r>
      <rPr>
        <sz val="10"/>
        <color rgb="FFC00000"/>
        <rFont val="Consolas"/>
        <family val="0"/>
        <charset val="1"/>
      </rPr>
      <t xml:space="preserve">r</t>
    </r>
    <r>
      <rPr>
        <sz val="10"/>
        <color rgb="FFC00000"/>
        <rFont val="Noto Sans CJK SC"/>
        <family val="2"/>
      </rPr>
      <t xml:space="preserve">）：</t>
    </r>
    <r>
      <rPr>
        <sz val="10"/>
        <color rgb="FFC00000"/>
        <rFont val="Consolas"/>
        <family val="0"/>
        <charset val="1"/>
      </rPr>
      <t xml:space="preserve">B=2024</t>
    </r>
    <r>
      <rPr>
        <sz val="10"/>
        <color rgb="FFC00000"/>
        <rFont val="Noto Sans CJK SC"/>
        <family val="2"/>
      </rPr>
      <t xml:space="preserve">全年  </t>
    </r>
    <r>
      <rPr>
        <sz val="10"/>
        <color rgb="FFC00000"/>
        <rFont val="Consolas"/>
        <family val="0"/>
        <charset val="1"/>
      </rPr>
      <t xml:space="preserve">C=2025</t>
    </r>
    <r>
      <rPr>
        <sz val="10"/>
        <color rgb="FFC00000"/>
        <rFont val="Noto Sans CJK SC"/>
        <family val="2"/>
      </rPr>
      <t xml:space="preserve">全年  </t>
    </r>
    <r>
      <rPr>
        <sz val="10"/>
        <color rgb="FFC00000"/>
        <rFont val="Consolas"/>
        <family val="0"/>
        <charset val="1"/>
      </rPr>
      <t xml:space="preserve">D=2024H1  E=2025H1  F=2026H1  G=2026</t>
    </r>
    <r>
      <rPr>
        <sz val="10"/>
        <color rgb="FFC00000"/>
        <rFont val="Noto Sans CJK SC"/>
        <family val="2"/>
      </rPr>
      <t xml:space="preserve">至</t>
    </r>
    <r>
      <rPr>
        <sz val="10"/>
        <color rgb="FFC00000"/>
        <rFont val="Consolas"/>
        <family val="0"/>
        <charset val="1"/>
      </rPr>
      <t xml:space="preserve">8/5</t>
    </r>
    <r>
      <rPr>
        <sz val="10"/>
        <color rgb="FFC00000"/>
        <rFont val="Noto Sans CJK SC"/>
        <family val="2"/>
      </rPr>
      <t xml:space="preserve">實際</t>
    </r>
  </si>
  <si>
    <r>
      <rPr>
        <b val="true"/>
        <sz val="11"/>
        <color rgb="FF2F5496"/>
        <rFont val="Noto Sans CJK SC"/>
        <family val="2"/>
      </rPr>
      <t xml:space="preserve">■ 法一　季節係數法（主方法，需要 </t>
    </r>
    <r>
      <rPr>
        <b val="true"/>
        <sz val="11"/>
        <color rgb="FF2F5496"/>
        <rFont val="Arial"/>
        <family val="0"/>
        <charset val="1"/>
      </rPr>
      <t xml:space="preserve">H1 </t>
    </r>
    <r>
      <rPr>
        <b val="true"/>
        <sz val="11"/>
        <color rgb="FF2F5496"/>
        <rFont val="Noto Sans CJK SC"/>
        <family val="2"/>
      </rPr>
      <t xml:space="preserve">資料）</t>
    </r>
  </si>
  <si>
    <r>
      <rPr>
        <sz val="10"/>
        <rFont val="Noto Sans CJK SC"/>
        <family val="2"/>
      </rPr>
      <t xml:space="preserve">   概念：每個系統上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下半年比例固定，用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的（全年</t>
    </r>
    <r>
      <rPr>
        <sz val="10"/>
        <rFont val="Arial"/>
        <family val="0"/>
        <charset val="1"/>
      </rPr>
      <t xml:space="preserve">÷H1</t>
    </r>
    <r>
      <rPr>
        <sz val="10"/>
        <rFont val="Noto Sans CJK SC"/>
        <family val="2"/>
      </rPr>
      <t xml:space="preserve">）倍數放大 </t>
    </r>
    <r>
      <rPr>
        <sz val="10"/>
        <rFont val="Arial"/>
        <family val="0"/>
        <charset val="1"/>
      </rPr>
      <t xml:space="preserve">2026 H1</t>
    </r>
    <r>
      <rPr>
        <sz val="10"/>
        <rFont val="Noto Sans CJK SC"/>
        <family val="2"/>
      </rPr>
      <t xml:space="preserve">。</t>
    </r>
  </si>
  <si>
    <r>
      <rPr>
        <sz val="10"/>
        <color rgb="FFC00000"/>
        <rFont val="Noto Sans CJK SC"/>
        <family val="2"/>
      </rPr>
      <t xml:space="preserve">   季節係數 </t>
    </r>
    <r>
      <rPr>
        <sz val="10"/>
        <color rgb="FFC00000"/>
        <rFont val="Consolas"/>
        <family val="0"/>
        <charset val="1"/>
      </rPr>
      <t xml:space="preserve">k = C / E</t>
    </r>
  </si>
  <si>
    <r>
      <rPr>
        <sz val="10"/>
        <color rgb="FFC00000"/>
        <rFont val="Noto Sans CJK SC"/>
        <family val="2"/>
      </rPr>
      <t xml:space="preserve">   預估全年 </t>
    </r>
    <r>
      <rPr>
        <sz val="10"/>
        <color rgb="FFC00000"/>
        <rFont val="Consolas"/>
        <family val="0"/>
        <charset val="1"/>
      </rPr>
      <t xml:space="preserve">= MAX( ROUND(F × C / E), G )</t>
    </r>
  </si>
  <si>
    <r>
      <rPr>
        <sz val="10"/>
        <rFont val="Noto Sans CJK SC"/>
        <family val="2"/>
      </rPr>
      <t xml:space="preserve">   → 只取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（不併 </t>
    </r>
    <r>
      <rPr>
        <sz val="10"/>
        <rFont val="Arial"/>
        <family val="0"/>
        <charset val="1"/>
      </rPr>
      <t xml:space="preserve">2024</t>
    </r>
    <r>
      <rPr>
        <sz val="10"/>
        <rFont val="Noto Sans CJK SC"/>
        <family val="2"/>
      </rPr>
      <t xml:space="preserve">），避免像 </t>
    </r>
    <r>
      <rPr>
        <sz val="10"/>
        <rFont val="Arial"/>
        <family val="0"/>
        <charset val="1"/>
      </rPr>
      <t xml:space="preserve">Relayout </t>
    </r>
    <r>
      <rPr>
        <sz val="10"/>
        <rFont val="Noto Sans CJK SC"/>
        <family val="2"/>
      </rPr>
      <t xml:space="preserve">這種擴張型系統被舊基數拉爆。</t>
    </r>
  </si>
  <si>
    <r>
      <rPr>
        <b val="true"/>
        <sz val="11"/>
        <color rgb="FF2F5496"/>
        <rFont val="Noto Sans CJK SC"/>
        <family val="2"/>
      </rPr>
      <t xml:space="preserve">■ 法二　</t>
    </r>
    <r>
      <rPr>
        <b val="true"/>
        <sz val="11"/>
        <color rgb="FF2F5496"/>
        <rFont val="Arial"/>
        <family val="0"/>
        <charset val="1"/>
      </rPr>
      <t xml:space="preserve">H2 </t>
    </r>
    <r>
      <rPr>
        <b val="true"/>
        <sz val="11"/>
        <color rgb="FF2F5496"/>
        <rFont val="Noto Sans CJK SC"/>
        <family val="2"/>
      </rPr>
      <t xml:space="preserve">年增率法（交叉驗證）</t>
    </r>
  </si>
  <si>
    <r>
      <rPr>
        <sz val="10"/>
        <rFont val="Noto Sans CJK SC"/>
        <family val="2"/>
      </rPr>
      <t xml:space="preserve">   概念：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下半年 </t>
    </r>
    <r>
      <rPr>
        <sz val="10"/>
        <rFont val="Arial"/>
        <family val="0"/>
        <charset val="1"/>
      </rPr>
      <t xml:space="preserve">= 2025 </t>
    </r>
    <r>
      <rPr>
        <sz val="10"/>
        <rFont val="Noto Sans CJK SC"/>
        <family val="2"/>
      </rPr>
      <t xml:space="preserve">下半年 </t>
    </r>
    <r>
      <rPr>
        <sz val="10"/>
        <rFont val="Arial"/>
        <family val="0"/>
        <charset val="1"/>
      </rPr>
      <t xml:space="preserve">× 2026H1 </t>
    </r>
    <r>
      <rPr>
        <sz val="10"/>
        <rFont val="Noto Sans CJK SC"/>
        <family val="2"/>
      </rPr>
      <t xml:space="preserve">的年增倍數。</t>
    </r>
  </si>
  <si>
    <r>
      <rPr>
        <sz val="10"/>
        <color rgb="FFC00000"/>
        <rFont val="Consolas"/>
        <family val="0"/>
        <charset val="1"/>
      </rPr>
      <t xml:space="preserve">   2025</t>
    </r>
    <r>
      <rPr>
        <sz val="10"/>
        <color rgb="FFC00000"/>
        <rFont val="Noto Sans CJK SC"/>
        <family val="2"/>
      </rPr>
      <t xml:space="preserve">下半年 </t>
    </r>
    <r>
      <rPr>
        <sz val="10"/>
        <color rgb="FFC00000"/>
        <rFont val="Consolas"/>
        <family val="0"/>
        <charset val="1"/>
      </rPr>
      <t xml:space="preserve">= C − E </t>
    </r>
    <r>
      <rPr>
        <sz val="10"/>
        <color rgb="FFC00000"/>
        <rFont val="Noto Sans CJK SC"/>
        <family val="2"/>
      </rPr>
      <t xml:space="preserve">；　年增倍數 </t>
    </r>
    <r>
      <rPr>
        <sz val="10"/>
        <color rgb="FFC00000"/>
        <rFont val="Consolas"/>
        <family val="0"/>
        <charset val="1"/>
      </rPr>
      <t xml:space="preserve">g = F / E</t>
    </r>
  </si>
  <si>
    <r>
      <rPr>
        <sz val="10"/>
        <color rgb="FFC00000"/>
        <rFont val="Noto Sans CJK SC"/>
        <family val="2"/>
      </rPr>
      <t xml:space="preserve">   預估全年 </t>
    </r>
    <r>
      <rPr>
        <sz val="10"/>
        <color rgb="FFC00000"/>
        <rFont val="Consolas"/>
        <family val="0"/>
        <charset val="1"/>
      </rPr>
      <t xml:space="preserve">= MAX( ROUND( F + (C − E) × (F / E) ), G )</t>
    </r>
  </si>
  <si>
    <t xml:space="preserve">   → 與法一接近就放心用；差很大代表季節性不穩，改列區間。</t>
  </si>
  <si>
    <r>
      <rPr>
        <b val="true"/>
        <sz val="11"/>
        <color rgb="FF2F5496"/>
        <rFont val="Noto Sans CJK SC"/>
        <family val="2"/>
      </rPr>
      <t xml:space="preserve">■ 線性推估（僅供缺 </t>
    </r>
    <r>
      <rPr>
        <b val="true"/>
        <sz val="11"/>
        <color rgb="FF2F5496"/>
        <rFont val="Arial"/>
        <family val="0"/>
        <charset val="1"/>
      </rPr>
      <t xml:space="preserve">H1 </t>
    </r>
    <r>
      <rPr>
        <b val="true"/>
        <sz val="11"/>
        <color rgb="FF2F5496"/>
        <rFont val="Noto Sans CJK SC"/>
        <family val="2"/>
      </rPr>
      <t xml:space="preserve">的系統參考，信心較低）</t>
    </r>
  </si>
  <si>
    <r>
      <rPr>
        <sz val="10"/>
        <color rgb="FFC00000"/>
        <rFont val="Noto Sans CJK SC"/>
        <family val="2"/>
      </rPr>
      <t xml:space="preserve">   預估全年 </t>
    </r>
    <r>
      <rPr>
        <sz val="10"/>
        <color rgb="FFC00000"/>
        <rFont val="Consolas"/>
        <family val="0"/>
        <charset val="1"/>
      </rPr>
      <t xml:space="preserve">= ROUND( G ÷ </t>
    </r>
    <r>
      <rPr>
        <sz val="10"/>
        <color rgb="FFC00000"/>
        <rFont val="Noto Sans CJK SC"/>
        <family val="2"/>
      </rPr>
      <t xml:space="preserve">已過天數 </t>
    </r>
    <r>
      <rPr>
        <sz val="10"/>
        <color rgb="FFC00000"/>
        <rFont val="Consolas"/>
        <family val="0"/>
        <charset val="1"/>
      </rPr>
      <t xml:space="preserve">× </t>
    </r>
    <r>
      <rPr>
        <sz val="10"/>
        <color rgb="FFC00000"/>
        <rFont val="Noto Sans CJK SC"/>
        <family val="2"/>
      </rPr>
      <t xml:space="preserve">全年天數 </t>
    </r>
    <r>
      <rPr>
        <sz val="10"/>
        <color rgb="FFC00000"/>
        <rFont val="Consolas"/>
        <family val="0"/>
        <charset val="1"/>
      </rPr>
      <t xml:space="preserve">)</t>
    </r>
    <r>
      <rPr>
        <sz val="10"/>
        <color rgb="FFC00000"/>
        <rFont val="Noto Sans CJK SC"/>
        <family val="2"/>
      </rPr>
      <t xml:space="preserve">　（</t>
    </r>
    <r>
      <rPr>
        <sz val="10"/>
        <color rgb="FFC00000"/>
        <rFont val="Consolas"/>
        <family val="0"/>
        <charset val="1"/>
      </rPr>
      <t xml:space="preserve">217 → 365</t>
    </r>
    <r>
      <rPr>
        <sz val="10"/>
        <color rgb="FFC00000"/>
        <rFont val="Noto Sans CJK SC"/>
        <family val="2"/>
      </rPr>
      <t xml:space="preserve">，即 </t>
    </r>
    <r>
      <rPr>
        <sz val="10"/>
        <color rgb="FFC00000"/>
        <rFont val="Consolas"/>
        <family val="0"/>
        <charset val="1"/>
      </rPr>
      <t xml:space="preserve">×1.68</t>
    </r>
    <r>
      <rPr>
        <sz val="10"/>
        <color rgb="FFC0000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</si>
  <si>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   → 假設全年平均分布，忽略季節性；只在沒有 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拆分時當退路。</t>
    </r>
  </si>
  <si>
    <r>
      <rPr>
        <b val="true"/>
        <sz val="11"/>
        <color rgb="FF2F5496"/>
        <rFont val="Noto Sans CJK SC"/>
        <family val="2"/>
      </rPr>
      <t xml:space="preserve">■ 剩餘（</t>
    </r>
    <r>
      <rPr>
        <b val="true"/>
        <sz val="11"/>
        <color rgb="FF2F5496"/>
        <rFont val="Arial"/>
        <family val="0"/>
        <charset val="1"/>
      </rPr>
      <t xml:space="preserve">8/6 – 12/31</t>
    </r>
    <r>
      <rPr>
        <b val="true"/>
        <sz val="11"/>
        <color rgb="FF2F5496"/>
        <rFont val="Noto Sans CJK SC"/>
        <family val="2"/>
      </rPr>
      <t xml:space="preserve">）</t>
    </r>
  </si>
  <si>
    <r>
      <rPr>
        <sz val="10"/>
        <color rgb="FFC00000"/>
        <rFont val="Noto Sans CJK SC"/>
        <family val="2"/>
      </rPr>
      <t xml:space="preserve">   剩餘 </t>
    </r>
    <r>
      <rPr>
        <sz val="10"/>
        <color rgb="FFC00000"/>
        <rFont val="Consolas"/>
        <family val="0"/>
        <charset val="1"/>
      </rPr>
      <t xml:space="preserve">= MAX( </t>
    </r>
    <r>
      <rPr>
        <sz val="10"/>
        <color rgb="FFC00000"/>
        <rFont val="Noto Sans CJK SC"/>
        <family val="2"/>
      </rPr>
      <t xml:space="preserve">建議全年 − </t>
    </r>
    <r>
      <rPr>
        <sz val="10"/>
        <color rgb="FFC00000"/>
        <rFont val="Consolas"/>
        <family val="0"/>
        <charset val="1"/>
      </rPr>
      <t xml:space="preserve">G , 0 )</t>
    </r>
  </si>
  <si>
    <r>
      <rPr>
        <sz val="10"/>
        <rFont val="Noto Sans CJK SC"/>
        <family val="2"/>
      </rPr>
      <t xml:space="preserve">   注意：不是「</t>
    </r>
    <r>
      <rPr>
        <sz val="10"/>
        <rFont val="Arial"/>
        <family val="0"/>
        <charset val="1"/>
      </rPr>
      <t xml:space="preserve">H2 </t>
    </r>
    <r>
      <rPr>
        <sz val="10"/>
        <rFont val="Noto Sans CJK SC"/>
        <family val="2"/>
      </rPr>
      <t xml:space="preserve">整段」。</t>
    </r>
    <r>
      <rPr>
        <sz val="10"/>
        <rFont val="Arial"/>
        <family val="0"/>
        <charset val="1"/>
      </rPr>
      <t xml:space="preserve">8/5 </t>
    </r>
    <r>
      <rPr>
        <sz val="10"/>
        <rFont val="Noto Sans CJK SC"/>
        <family val="2"/>
      </rPr>
      <t xml:space="preserve">已含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月與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月初，直接算 </t>
    </r>
    <r>
      <rPr>
        <sz val="10"/>
        <rFont val="Arial"/>
        <family val="0"/>
        <charset val="1"/>
      </rPr>
      <t xml:space="preserve">H2 </t>
    </r>
    <r>
      <rPr>
        <sz val="10"/>
        <rFont val="Noto Sans CJK SC"/>
        <family val="2"/>
      </rPr>
      <t xml:space="preserve">會重複計算。</t>
    </r>
  </si>
  <si>
    <r>
      <rPr>
        <b val="true"/>
        <sz val="11"/>
        <color rgb="FF2F5496"/>
        <rFont val="Arial"/>
        <family val="0"/>
        <charset val="1"/>
      </rPr>
      <t xml:space="preserve">■ MAX(…, G) </t>
    </r>
    <r>
      <rPr>
        <b val="true"/>
        <sz val="11"/>
        <color rgb="FF2F5496"/>
        <rFont val="Noto Sans CJK SC"/>
        <family val="2"/>
      </rPr>
      <t xml:space="preserve">保護條款</t>
    </r>
  </si>
  <si>
    <r>
      <rPr>
        <sz val="10"/>
        <rFont val="Noto Sans CJK SC"/>
        <family val="2"/>
      </rPr>
      <t xml:space="preserve">   若模型算出的全年比「已發生的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」還低（今年前重後輕、超出歷史型態），</t>
    </r>
  </si>
  <si>
    <r>
      <rPr>
        <sz val="10"/>
        <rFont val="Noto Sans CJK SC"/>
        <family val="2"/>
      </rPr>
      <t xml:space="preserve">   至少等於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，避免剩餘變負數。</t>
    </r>
  </si>
  <si>
    <t xml:space="preserve">■ 信心分級</t>
  </si>
  <si>
    <r>
      <rPr>
        <sz val="10"/>
        <rFont val="Noto Sans CJK SC"/>
        <family val="2"/>
      </rPr>
      <t xml:space="preserve">   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雙法收斂 → 有 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且 </t>
    </r>
    <r>
      <rPr>
        <sz val="10"/>
        <rFont val="Arial"/>
        <family val="0"/>
        <charset val="1"/>
      </rPr>
      <t xml:space="preserve">2025H1≥5</t>
    </r>
    <r>
      <rPr>
        <sz val="10"/>
        <rFont val="Noto Sans CJK SC"/>
        <family val="2"/>
      </rPr>
      <t xml:space="preserve">：水務、</t>
    </r>
    <r>
      <rPr>
        <sz val="10"/>
        <rFont val="Arial"/>
        <family val="0"/>
        <charset val="1"/>
      </rPr>
      <t xml:space="preserve">Relayout</t>
    </r>
    <r>
      <rPr>
        <sz val="10"/>
        <rFont val="Noto Sans CJK SC"/>
        <family val="2"/>
      </rPr>
      <t xml:space="preserve">、資安、消防</t>
    </r>
  </si>
  <si>
    <r>
      <rPr>
        <sz val="10"/>
        <rFont val="Noto Sans CJK SC"/>
        <family val="2"/>
      </rPr>
      <t xml:space="preserve">   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但基數小 → 有 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但 </t>
    </r>
    <r>
      <rPr>
        <sz val="10"/>
        <rFont val="Arial"/>
        <family val="0"/>
        <charset val="1"/>
      </rPr>
      <t xml:space="preserve">2025H1&lt;5</t>
    </r>
    <r>
      <rPr>
        <sz val="10"/>
        <rFont val="Noto Sans CJK SC"/>
        <family val="2"/>
      </rPr>
      <t xml:space="preserve">：安全（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件），一兩件就翻盤</t>
    </r>
  </si>
  <si>
    <r>
      <rPr>
        <sz val="10"/>
        <rFont val="Noto Sans CJK SC"/>
        <family val="2"/>
      </rPr>
      <t xml:space="preserve">   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線性推估 → 無 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G≥10</t>
    </r>
    <r>
      <rPr>
        <sz val="10"/>
        <rFont val="Noto Sans CJK SC"/>
        <family val="2"/>
      </rPr>
      <t xml:space="preserve">：空調、建管、空壓、電力</t>
    </r>
  </si>
  <si>
    <r>
      <rPr>
        <sz val="10"/>
        <rFont val="Noto Sans CJK SC"/>
        <family val="2"/>
      </rPr>
      <t xml:space="preserve">   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基數過小 → </t>
    </r>
    <r>
      <rPr>
        <sz val="10"/>
        <rFont val="Arial"/>
        <family val="0"/>
        <charset val="1"/>
      </rPr>
      <t xml:space="preserve">G&lt;10</t>
    </r>
    <r>
      <rPr>
        <sz val="10"/>
        <rFont val="Noto Sans CJK SC"/>
        <family val="2"/>
      </rPr>
      <t xml:space="preserve">：抽氣、二次配、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自動化、環保、其他</t>
    </r>
  </si>
  <si>
    <r>
      <rPr>
        <sz val="10"/>
        <rFont val="Noto Sans CJK SC"/>
        <family val="2"/>
      </rPr>
      <t xml:space="preserve">   已停用 → </t>
    </r>
    <r>
      <rPr>
        <sz val="10"/>
        <rFont val="Arial"/>
        <family val="0"/>
        <charset val="1"/>
      </rPr>
      <t xml:space="preserve">G=0</t>
    </r>
    <r>
      <rPr>
        <sz val="10"/>
        <rFont val="Noto Sans CJK SC"/>
        <family val="2"/>
      </rPr>
      <t xml:space="preserve">：廢水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新建</t>
    </r>
  </si>
  <si>
    <t xml:space="preserve">■ 已知資料坑（建議先確認）</t>
  </si>
  <si>
    <r>
      <rPr>
        <sz val="10"/>
        <rFont val="Arial"/>
        <family val="0"/>
        <charset val="1"/>
      </rPr>
      <t xml:space="preserve">   1. </t>
    </r>
    <r>
      <rPr>
        <sz val="10"/>
        <rFont val="Noto Sans CJK SC"/>
        <family val="2"/>
      </rPr>
      <t xml:space="preserve">消防 </t>
    </r>
    <r>
      <rPr>
        <sz val="10"/>
        <rFont val="Arial"/>
        <family val="0"/>
        <charset val="1"/>
      </rPr>
      <t xml:space="preserve">2024 H1 </t>
    </r>
    <r>
      <rPr>
        <sz val="10"/>
        <rFont val="Noto Sans CJK SC"/>
        <family val="2"/>
      </rPr>
      <t xml:space="preserve">是「—」：用近年係數法</t>
    </r>
    <r>
      <rPr>
        <sz val="10"/>
        <rFont val="Arial"/>
        <family val="0"/>
        <charset val="1"/>
      </rPr>
      <t xml:space="preserve">(C/E)</t>
    </r>
    <r>
      <rPr>
        <sz val="10"/>
        <rFont val="Noto Sans CJK SC"/>
        <family val="2"/>
      </rPr>
      <t xml:space="preserve">已自動繞過，不受影響；仍建議確認是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還是漏統計。</t>
    </r>
  </si>
  <si>
    <r>
      <rPr>
        <sz val="10"/>
        <rFont val="Arial"/>
        <family val="0"/>
        <charset val="1"/>
      </rPr>
      <t xml:space="preserve">   2.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8/5 </t>
    </r>
    <r>
      <rPr>
        <sz val="10"/>
        <rFont val="Noto Sans CJK SC"/>
        <family val="2"/>
      </rPr>
      <t xml:space="preserve">可能有登錄延遲，最近幾週案子未進系統，會讓所有推估偏低。</t>
    </r>
  </si>
  <si>
    <r>
      <rPr>
        <sz val="10"/>
        <rFont val="Arial"/>
        <family val="0"/>
        <charset val="1"/>
      </rPr>
      <t xml:space="preserve">   3. </t>
    </r>
    <r>
      <rPr>
        <sz val="10"/>
        <rFont val="Noto Sans CJK SC"/>
        <family val="2"/>
      </rPr>
      <t xml:space="preserve">件數看不到金額趨勢：</t>
    </r>
    <r>
      <rPr>
        <sz val="10"/>
        <rFont val="Arial"/>
        <family val="0"/>
        <charset val="1"/>
      </rPr>
      <t xml:space="preserve">Relayout </t>
    </r>
    <r>
      <rPr>
        <sz val="10"/>
        <rFont val="Noto Sans CJK SC"/>
        <family val="2"/>
      </rPr>
      <t xml:space="preserve">件數</t>
    </r>
    <r>
      <rPr>
        <sz val="10"/>
        <rFont val="Arial"/>
        <family val="0"/>
        <charset val="1"/>
      </rPr>
      <t xml:space="preserve">+3% </t>
    </r>
    <r>
      <rPr>
        <sz val="10"/>
        <rFont val="Noto Sans CJK SC"/>
        <family val="2"/>
      </rPr>
      <t xml:space="preserve">但金額</t>
    </r>
    <r>
      <rPr>
        <sz val="10"/>
        <rFont val="Arial"/>
        <family val="0"/>
        <charset val="1"/>
      </rPr>
      <t xml:space="preserve">+99%</t>
    </r>
    <r>
      <rPr>
        <sz val="10"/>
        <rFont val="Noto Sans CJK SC"/>
        <family val="2"/>
      </rPr>
      <t xml:space="preserve">（單件規模翻倍）；消防件數</t>
    </r>
    <r>
      <rPr>
        <sz val="10"/>
        <rFont val="Arial"/>
        <family val="0"/>
        <charset val="1"/>
      </rPr>
      <t xml:space="preserve">+82% </t>
    </r>
    <r>
      <rPr>
        <sz val="10"/>
        <rFont val="Noto Sans CJK SC"/>
        <family val="2"/>
      </rPr>
      <t xml:space="preserve">金額卻</t>
    </r>
    <r>
      <rPr>
        <sz val="10"/>
        <rFont val="Arial"/>
        <family val="0"/>
        <charset val="1"/>
      </rPr>
      <t xml:space="preserve">-37%</t>
    </r>
    <r>
      <rPr>
        <sz val="10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</si>
</sst>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Noto Sans CJK SC"/>
      <family val="2"/>
    </font>
    <font>
      <sz val="10"/>
      <color rgb="FFC00000"/>
      <name val="Noto Sans CJK SC"/>
      <family val="2"/>
    </font>
    <font>
      <sz val="10"/>
      <color rgb="FFC00000"/>
      <name val="Consolas"/>
      <family val="0"/>
      <charset val="1"/>
    </font>
    <font>
      <b val="true"/>
      <sz val="11"/>
      <color rgb="FF2F5496"/>
      <name val="Noto Sans CJK SC"/>
      <family val="2"/>
    </font>
    <font>
      <b val="true"/>
      <sz val="11"/>
      <color rgb="FF2F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9"/>
    <col collapsed="false" customWidth="true" hidden="false" outlineLevel="0" max="6" min="4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3" t="s">
        <v>2</v>
      </c>
      <c r="C2" s="4" t="n">
        <v>217</v>
      </c>
      <c r="D2" s="3" t="s">
        <v>3</v>
      </c>
      <c r="E2" s="4" t="n">
        <v>365</v>
      </c>
      <c r="F2" s="5" t="s">
        <v>4</v>
      </c>
    </row>
    <row r="4" customFormat="false" ht="30" hidden="false" customHeight="true" outlineLevel="0" collapsed="false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</row>
    <row r="5" customFormat="false" ht="15" hidden="false" customHeight="false" outlineLevel="0" collapsed="false">
      <c r="A5" s="2" t="s">
        <v>19</v>
      </c>
      <c r="B5" s="8" t="n">
        <v>47</v>
      </c>
      <c r="C5" s="8" t="n">
        <v>58</v>
      </c>
      <c r="D5" s="8" t="n">
        <v>28</v>
      </c>
      <c r="E5" s="8" t="n">
        <v>41</v>
      </c>
      <c r="F5" s="8" t="n">
        <v>44</v>
      </c>
      <c r="G5" s="8" t="n">
        <v>52</v>
      </c>
      <c r="H5" s="9" t="n">
        <f aca="false">IF(E5="","",C5/E5)</f>
        <v>1.41463414634146</v>
      </c>
      <c r="I5" s="10" t="n">
        <f aca="false">IF(E5="","",MAX(ROUND(F5*C5/E5,0),G5))</f>
        <v>62</v>
      </c>
      <c r="J5" s="10" t="n">
        <f aca="false">IF(E5="","",MAX(ROUND(F5+(C5-E5)*(F5/E5),0),G5))</f>
        <v>62</v>
      </c>
      <c r="K5" s="10" t="n">
        <f aca="false">ROUND(G5/$C$2*$E$2,0)</f>
        <v>87</v>
      </c>
      <c r="L5" s="11" t="n">
        <f aca="false">IF(E5="",K5,I5)</f>
        <v>62</v>
      </c>
      <c r="M5" s="11" t="n">
        <f aca="false">MAX(L5-G5,0)</f>
        <v>10</v>
      </c>
      <c r="N5" s="12" t="str">
        <f aca="false">IF(G5=0,"已停用（今年無案）",IF(AND(E5&lt;&gt;"",E5&lt;5),"高·但基數小·易波動",IF(E5&lt;&gt;"","高·雙法收斂",IF(G5&lt;10,"低·基數過小·僅參考","中·線性推估（缺H1）"))))</f>
        <v>高·雙法收斂</v>
      </c>
    </row>
    <row r="6" customFormat="false" ht="15" hidden="false" customHeight="false" outlineLevel="0" collapsed="false">
      <c r="A6" s="13" t="s">
        <v>20</v>
      </c>
      <c r="B6" s="8" t="n">
        <v>38</v>
      </c>
      <c r="C6" s="8" t="n">
        <v>57</v>
      </c>
      <c r="D6" s="8" t="n">
        <v>7</v>
      </c>
      <c r="E6" s="8" t="n">
        <v>36</v>
      </c>
      <c r="F6" s="8" t="n">
        <v>37</v>
      </c>
      <c r="G6" s="8" t="n">
        <v>43</v>
      </c>
      <c r="H6" s="14" t="n">
        <f aca="false">IF(E6="","",C6/E6)</f>
        <v>1.58333333333333</v>
      </c>
      <c r="I6" s="15" t="n">
        <f aca="false">IF(E6="","",MAX(ROUND(F6*C6/E6,0),G6))</f>
        <v>59</v>
      </c>
      <c r="J6" s="15" t="n">
        <f aca="false">IF(E6="","",MAX(ROUND(F6+(C6-E6)*(F6/E6),0),G6))</f>
        <v>59</v>
      </c>
      <c r="K6" s="15" t="n">
        <f aca="false">ROUND(G6/$C$2*$E$2,0)</f>
        <v>72</v>
      </c>
      <c r="L6" s="16" t="n">
        <f aca="false">IF(E6="",K6,I6)</f>
        <v>59</v>
      </c>
      <c r="M6" s="16" t="n">
        <f aca="false">MAX(L6-G6,0)</f>
        <v>16</v>
      </c>
      <c r="N6" s="17" t="str">
        <f aca="false">IF(G6=0,"已停用（今年無案）",IF(AND(E6&lt;&gt;"",E6&lt;5),"高·但基數小·易波動",IF(E6&lt;&gt;"","高·雙法收斂",IF(G6&lt;10,"低·基數過小·僅參考","中·線性推估（缺H1）"))))</f>
        <v>高·雙法收斂</v>
      </c>
    </row>
    <row r="7" customFormat="false" ht="15" hidden="false" customHeight="false" outlineLevel="0" collapsed="false">
      <c r="A7" s="2" t="s">
        <v>21</v>
      </c>
      <c r="B7" s="8" t="n">
        <v>5</v>
      </c>
      <c r="C7" s="8" t="n">
        <v>17</v>
      </c>
      <c r="D7" s="8" t="n">
        <v>2</v>
      </c>
      <c r="E7" s="8" t="n">
        <v>10</v>
      </c>
      <c r="F7" s="8" t="n">
        <v>19</v>
      </c>
      <c r="G7" s="8" t="n">
        <v>22</v>
      </c>
      <c r="H7" s="9" t="n">
        <f aca="false">IF(E7="","",C7/E7)</f>
        <v>1.7</v>
      </c>
      <c r="I7" s="10" t="n">
        <f aca="false">IF(E7="","",MAX(ROUND(F7*C7/E7,0),G7))</f>
        <v>32</v>
      </c>
      <c r="J7" s="10" t="n">
        <f aca="false">IF(E7="","",MAX(ROUND(F7+(C7-E7)*(F7/E7),0),G7))</f>
        <v>32</v>
      </c>
      <c r="K7" s="10" t="n">
        <f aca="false">ROUND(G7/$C$2*$E$2,0)</f>
        <v>37</v>
      </c>
      <c r="L7" s="11" t="n">
        <f aca="false">IF(E7="",K7,I7)</f>
        <v>32</v>
      </c>
      <c r="M7" s="11" t="n">
        <f aca="false">MAX(L7-G7,0)</f>
        <v>10</v>
      </c>
      <c r="N7" s="12" t="str">
        <f aca="false">IF(G7=0,"已停用（今年無案）",IF(AND(E7&lt;&gt;"",E7&lt;5),"高·但基數小·易波動",IF(E7&lt;&gt;"","高·雙法收斂",IF(G7&lt;10,"低·基數過小·僅參考","中·線性推估（缺H1）"))))</f>
        <v>高·雙法收斂</v>
      </c>
    </row>
    <row r="8" customFormat="false" ht="15" hidden="false" customHeight="false" outlineLevel="0" collapsed="false">
      <c r="A8" s="18" t="s">
        <v>22</v>
      </c>
      <c r="B8" s="8" t="n">
        <v>6</v>
      </c>
      <c r="C8" s="8" t="n">
        <v>21</v>
      </c>
      <c r="D8" s="8"/>
      <c r="E8" s="8" t="n">
        <v>11</v>
      </c>
      <c r="F8" s="8" t="n">
        <v>20</v>
      </c>
      <c r="G8" s="8" t="n">
        <v>21</v>
      </c>
      <c r="H8" s="14" t="n">
        <f aca="false">IF(E8="","",C8/E8)</f>
        <v>1.90909090909091</v>
      </c>
      <c r="I8" s="15" t="n">
        <f aca="false">IF(E8="","",MAX(ROUND(F8*C8/E8,0),G8))</f>
        <v>38</v>
      </c>
      <c r="J8" s="15" t="n">
        <f aca="false">IF(E8="","",MAX(ROUND(F8+(C8-E8)*(F8/E8),0),G8))</f>
        <v>38</v>
      </c>
      <c r="K8" s="15" t="n">
        <f aca="false">ROUND(G8/$C$2*$E$2,0)</f>
        <v>35</v>
      </c>
      <c r="L8" s="16" t="n">
        <f aca="false">IF(E8="",K8,I8)</f>
        <v>38</v>
      </c>
      <c r="M8" s="16" t="n">
        <f aca="false">MAX(L8-G8,0)</f>
        <v>17</v>
      </c>
      <c r="N8" s="17" t="str">
        <f aca="false">IF(G8=0,"已停用（今年無案）",IF(AND(E8&lt;&gt;"",E8&lt;5),"高·但基數小·易波動",IF(E8&lt;&gt;"","高·雙法收斂",IF(G8&lt;10,"低·基數過小·僅參考","中·線性推估（缺H1）"))))</f>
        <v>高·雙法收斂</v>
      </c>
    </row>
    <row r="9" customFormat="false" ht="15" hidden="false" customHeight="false" outlineLevel="0" collapsed="false">
      <c r="A9" s="2" t="s">
        <v>23</v>
      </c>
      <c r="B9" s="8" t="n">
        <v>15</v>
      </c>
      <c r="C9" s="8" t="n">
        <v>11</v>
      </c>
      <c r="D9" s="8" t="n">
        <v>5</v>
      </c>
      <c r="E9" s="8" t="n">
        <v>3</v>
      </c>
      <c r="F9" s="8" t="n">
        <v>13</v>
      </c>
      <c r="G9" s="8" t="n">
        <v>15</v>
      </c>
      <c r="H9" s="9" t="n">
        <f aca="false">IF(E9="","",C9/E9)</f>
        <v>3.66666666666667</v>
      </c>
      <c r="I9" s="10" t="n">
        <f aca="false">IF(E9="","",MAX(ROUND(F9*C9/E9,0),G9))</f>
        <v>48</v>
      </c>
      <c r="J9" s="10" t="n">
        <f aca="false">IF(E9="","",MAX(ROUND(F9+(C9-E9)*(F9/E9),0),G9))</f>
        <v>48</v>
      </c>
      <c r="K9" s="10" t="n">
        <f aca="false">ROUND(G9/$C$2*$E$2,0)</f>
        <v>25</v>
      </c>
      <c r="L9" s="11" t="n">
        <f aca="false">IF(E9="",K9,I9)</f>
        <v>48</v>
      </c>
      <c r="M9" s="11" t="n">
        <f aca="false">MAX(L9-G9,0)</f>
        <v>33</v>
      </c>
      <c r="N9" s="12" t="str">
        <f aca="false">IF(G9=0,"已停用（今年無案）",IF(AND(E9&lt;&gt;"",E9&lt;5),"高·但基數小·易波動",IF(E9&lt;&gt;"","高·雙法收斂",IF(G9&lt;10,"低·基數過小·僅參考","中·線性推估（缺H1）"))))</f>
        <v>高·但基數小·易波動</v>
      </c>
    </row>
    <row r="10" customFormat="false" ht="15" hidden="false" customHeight="false" outlineLevel="0" collapsed="false">
      <c r="A10" s="18" t="s">
        <v>24</v>
      </c>
      <c r="B10" s="8" t="n">
        <v>64</v>
      </c>
      <c r="C10" s="8" t="n">
        <v>49</v>
      </c>
      <c r="D10" s="8"/>
      <c r="E10" s="8"/>
      <c r="F10" s="8"/>
      <c r="G10" s="8" t="n">
        <v>20</v>
      </c>
      <c r="H10" s="14" t="str">
        <f aca="false">IF(E10="","",C10/E10)</f>
        <v/>
      </c>
      <c r="I10" s="15" t="str">
        <f aca="false">IF(E10="","",MAX(ROUND(F10*C10/E10,0),G10))</f>
        <v/>
      </c>
      <c r="J10" s="15" t="str">
        <f aca="false">IF(E10="","",MAX(ROUND(F10+(C10-E10)*(F10/E10),0),G10))</f>
        <v/>
      </c>
      <c r="K10" s="15" t="n">
        <f aca="false">ROUND(G10/$C$2*$E$2,0)</f>
        <v>34</v>
      </c>
      <c r="L10" s="16" t="n">
        <f aca="false">IF(E10="",K10,I10)</f>
        <v>34</v>
      </c>
      <c r="M10" s="16" t="n">
        <f aca="false">MAX(L10-G10,0)</f>
        <v>14</v>
      </c>
      <c r="N10" s="17" t="str">
        <f aca="false">IF(G10=0,"已停用（今年無案）",IF(AND(E10&lt;&gt;"",E10&lt;5),"高·但基數小·易波動",IF(E10&lt;&gt;"","高·雙法收斂",IF(G10&lt;10,"低·基數過小·僅參考","中·線性推估（缺H1）"))))</f>
        <v>中·線性推估（缺H1）</v>
      </c>
    </row>
    <row r="11" customFormat="false" ht="15" hidden="false" customHeight="false" outlineLevel="0" collapsed="false">
      <c r="A11" s="2" t="s">
        <v>25</v>
      </c>
      <c r="B11" s="8" t="n">
        <v>15</v>
      </c>
      <c r="C11" s="8" t="n">
        <v>46</v>
      </c>
      <c r="D11" s="8"/>
      <c r="E11" s="8"/>
      <c r="F11" s="8"/>
      <c r="G11" s="8" t="n">
        <v>14</v>
      </c>
      <c r="H11" s="9" t="str">
        <f aca="false">IF(E11="","",C11/E11)</f>
        <v/>
      </c>
      <c r="I11" s="10" t="str">
        <f aca="false">IF(E11="","",MAX(ROUND(F11*C11/E11,0),G11))</f>
        <v/>
      </c>
      <c r="J11" s="10" t="str">
        <f aca="false">IF(E11="","",MAX(ROUND(F11+(C11-E11)*(F11/E11),0),G11))</f>
        <v/>
      </c>
      <c r="K11" s="10" t="n">
        <f aca="false">ROUND(G11/$C$2*$E$2,0)</f>
        <v>24</v>
      </c>
      <c r="L11" s="11" t="n">
        <f aca="false">IF(E11="",K11,I11)</f>
        <v>24</v>
      </c>
      <c r="M11" s="11" t="n">
        <f aca="false">MAX(L11-G11,0)</f>
        <v>10</v>
      </c>
      <c r="N11" s="12" t="str">
        <f aca="false">IF(G11=0,"已停用（今年無案）",IF(AND(E11&lt;&gt;"",E11&lt;5),"高·但基數小·易波動",IF(E11&lt;&gt;"","高·雙法收斂",IF(G11&lt;10,"低·基數過小·僅參考","中·線性推估（缺H1）"))))</f>
        <v>中·線性推估（缺H1）</v>
      </c>
    </row>
    <row r="12" customFormat="false" ht="15" hidden="false" customHeight="false" outlineLevel="0" collapsed="false">
      <c r="A12" s="18" t="s">
        <v>26</v>
      </c>
      <c r="B12" s="8" t="n">
        <v>25</v>
      </c>
      <c r="C12" s="8" t="n">
        <v>19</v>
      </c>
      <c r="D12" s="8"/>
      <c r="E12" s="8"/>
      <c r="F12" s="8"/>
      <c r="G12" s="8" t="n">
        <v>13</v>
      </c>
      <c r="H12" s="14" t="str">
        <f aca="false">IF(E12="","",C12/E12)</f>
        <v/>
      </c>
      <c r="I12" s="15" t="str">
        <f aca="false">IF(E12="","",MAX(ROUND(F12*C12/E12,0),G12))</f>
        <v/>
      </c>
      <c r="J12" s="15" t="str">
        <f aca="false">IF(E12="","",MAX(ROUND(F12+(C12-E12)*(F12/E12),0),G12))</f>
        <v/>
      </c>
      <c r="K12" s="15" t="n">
        <f aca="false">ROUND(G12/$C$2*$E$2,0)</f>
        <v>22</v>
      </c>
      <c r="L12" s="16" t="n">
        <f aca="false">IF(E12="",K12,I12)</f>
        <v>22</v>
      </c>
      <c r="M12" s="16" t="n">
        <f aca="false">MAX(L12-G12,0)</f>
        <v>9</v>
      </c>
      <c r="N12" s="17" t="str">
        <f aca="false">IF(G12=0,"已停用（今年無案）",IF(AND(E12&lt;&gt;"",E12&lt;5),"高·但基數小·易波動",IF(E12&lt;&gt;"","高·雙法收斂",IF(G12&lt;10,"低·基數過小·僅參考","中·線性推估（缺H1）"))))</f>
        <v>中·線性推估（缺H1）</v>
      </c>
    </row>
    <row r="13" customFormat="false" ht="15" hidden="false" customHeight="false" outlineLevel="0" collapsed="false">
      <c r="A13" s="2" t="s">
        <v>27</v>
      </c>
      <c r="B13" s="8" t="n">
        <v>6</v>
      </c>
      <c r="C13" s="8" t="n">
        <v>33</v>
      </c>
      <c r="D13" s="8"/>
      <c r="E13" s="8"/>
      <c r="F13" s="8"/>
      <c r="G13" s="8" t="n">
        <v>10</v>
      </c>
      <c r="H13" s="9" t="str">
        <f aca="false">IF(E13="","",C13/E13)</f>
        <v/>
      </c>
      <c r="I13" s="10" t="str">
        <f aca="false">IF(E13="","",MAX(ROUND(F13*C13/E13,0),G13))</f>
        <v/>
      </c>
      <c r="J13" s="10" t="str">
        <f aca="false">IF(E13="","",MAX(ROUND(F13+(C13-E13)*(F13/E13),0),G13))</f>
        <v/>
      </c>
      <c r="K13" s="10" t="n">
        <f aca="false">ROUND(G13/$C$2*$E$2,0)</f>
        <v>17</v>
      </c>
      <c r="L13" s="11" t="n">
        <f aca="false">IF(E13="",K13,I13)</f>
        <v>17</v>
      </c>
      <c r="M13" s="11" t="n">
        <f aca="false">MAX(L13-G13,0)</f>
        <v>7</v>
      </c>
      <c r="N13" s="12" t="str">
        <f aca="false">IF(G13=0,"已停用（今年無案）",IF(AND(E13&lt;&gt;"",E13&lt;5),"高·但基數小·易波動",IF(E13&lt;&gt;"","高·雙法收斂",IF(G13&lt;10,"低·基數過小·僅參考","中·線性推估（缺H1）"))))</f>
        <v>中·線性推估（缺H1）</v>
      </c>
    </row>
    <row r="14" customFormat="false" ht="15" hidden="false" customHeight="false" outlineLevel="0" collapsed="false">
      <c r="A14" s="18" t="s">
        <v>28</v>
      </c>
      <c r="B14" s="8" t="n">
        <v>0</v>
      </c>
      <c r="C14" s="8" t="n">
        <v>3</v>
      </c>
      <c r="D14" s="8"/>
      <c r="E14" s="8"/>
      <c r="F14" s="8"/>
      <c r="G14" s="8" t="n">
        <v>9</v>
      </c>
      <c r="H14" s="14" t="str">
        <f aca="false">IF(E14="","",C14/E14)</f>
        <v/>
      </c>
      <c r="I14" s="15" t="str">
        <f aca="false">IF(E14="","",MAX(ROUND(F14*C14/E14,0),G14))</f>
        <v/>
      </c>
      <c r="J14" s="15" t="str">
        <f aca="false">IF(E14="","",MAX(ROUND(F14+(C14-E14)*(F14/E14),0),G14))</f>
        <v/>
      </c>
      <c r="K14" s="15" t="n">
        <f aca="false">ROUND(G14/$C$2*$E$2,0)</f>
        <v>15</v>
      </c>
      <c r="L14" s="16" t="n">
        <f aca="false">IF(E14="",K14,I14)</f>
        <v>15</v>
      </c>
      <c r="M14" s="16" t="n">
        <f aca="false">MAX(L14-G14,0)</f>
        <v>6</v>
      </c>
      <c r="N14" s="17" t="str">
        <f aca="false">IF(G14=0,"已停用（今年無案）",IF(AND(E14&lt;&gt;"",E14&lt;5),"高·但基數小·易波動",IF(E14&lt;&gt;"","高·雙法收斂",IF(G14&lt;10,"低·基數過小·僅參考","中·線性推估（缺H1）"))))</f>
        <v>低·基數過小·僅參考</v>
      </c>
    </row>
    <row r="15" customFormat="false" ht="15" hidden="false" customHeight="false" outlineLevel="0" collapsed="false">
      <c r="A15" s="2" t="s">
        <v>29</v>
      </c>
      <c r="B15" s="8" t="n">
        <v>12</v>
      </c>
      <c r="C15" s="8" t="n">
        <v>34</v>
      </c>
      <c r="D15" s="8"/>
      <c r="E15" s="8"/>
      <c r="F15" s="8"/>
      <c r="G15" s="8" t="n">
        <v>5</v>
      </c>
      <c r="H15" s="9" t="str">
        <f aca="false">IF(E15="","",C15/E15)</f>
        <v/>
      </c>
      <c r="I15" s="10" t="str">
        <f aca="false">IF(E15="","",MAX(ROUND(F15*C15/E15,0),G15))</f>
        <v/>
      </c>
      <c r="J15" s="10" t="str">
        <f aca="false">IF(E15="","",MAX(ROUND(F15+(C15-E15)*(F15/E15),0),G15))</f>
        <v/>
      </c>
      <c r="K15" s="10" t="n">
        <f aca="false">ROUND(G15/$C$2*$E$2,0)</f>
        <v>8</v>
      </c>
      <c r="L15" s="11" t="n">
        <f aca="false">IF(E15="",K15,I15)</f>
        <v>8</v>
      </c>
      <c r="M15" s="11" t="n">
        <f aca="false">MAX(L15-G15,0)</f>
        <v>3</v>
      </c>
      <c r="N15" s="12" t="str">
        <f aca="false">IF(G15=0,"已停用（今年無案）",IF(AND(E15&lt;&gt;"",E15&lt;5),"高·但基數小·易波動",IF(E15&lt;&gt;"","高·雙法收斂",IF(G15&lt;10,"低·基數過小·僅參考","中·線性推估（缺H1）"))))</f>
        <v>低·基數過小·僅參考</v>
      </c>
    </row>
    <row r="16" customFormat="false" ht="15" hidden="false" customHeight="false" outlineLevel="0" collapsed="false">
      <c r="A16" s="13" t="s">
        <v>30</v>
      </c>
      <c r="B16" s="8" t="n">
        <v>0</v>
      </c>
      <c r="C16" s="8" t="n">
        <v>0</v>
      </c>
      <c r="D16" s="8"/>
      <c r="E16" s="8"/>
      <c r="F16" s="8"/>
      <c r="G16" s="8" t="n">
        <v>4</v>
      </c>
      <c r="H16" s="14" t="str">
        <f aca="false">IF(E16="","",C16/E16)</f>
        <v/>
      </c>
      <c r="I16" s="15" t="str">
        <f aca="false">IF(E16="","",MAX(ROUND(F16*C16/E16,0),G16))</f>
        <v/>
      </c>
      <c r="J16" s="15" t="str">
        <f aca="false">IF(E16="","",MAX(ROUND(F16+(C16-E16)*(F16/E16),0),G16))</f>
        <v/>
      </c>
      <c r="K16" s="15" t="n">
        <f aca="false">ROUND(G16/$C$2*$E$2,0)</f>
        <v>7</v>
      </c>
      <c r="L16" s="16" t="n">
        <f aca="false">IF(E16="",K16,I16)</f>
        <v>7</v>
      </c>
      <c r="M16" s="16" t="n">
        <f aca="false">MAX(L16-G16,0)</f>
        <v>3</v>
      </c>
      <c r="N16" s="17" t="str">
        <f aca="false">IF(G16=0,"已停用（今年無案）",IF(AND(E16&lt;&gt;"",E16&lt;5),"高·但基數小·易波動",IF(E16&lt;&gt;"","高·雙法收斂",IF(G16&lt;10,"低·基數過小·僅參考","中·線性推估（缺H1）"))))</f>
        <v>低·基數過小·僅參考</v>
      </c>
    </row>
    <row r="17" customFormat="false" ht="15" hidden="false" customHeight="false" outlineLevel="0" collapsed="false">
      <c r="A17" s="2" t="s">
        <v>31</v>
      </c>
      <c r="B17" s="8" t="n">
        <v>2</v>
      </c>
      <c r="C17" s="8" t="n">
        <v>0</v>
      </c>
      <c r="D17" s="8"/>
      <c r="E17" s="8"/>
      <c r="F17" s="8"/>
      <c r="G17" s="8" t="n">
        <v>2</v>
      </c>
      <c r="H17" s="9" t="str">
        <f aca="false">IF(E17="","",C17/E17)</f>
        <v/>
      </c>
      <c r="I17" s="10" t="str">
        <f aca="false">IF(E17="","",MAX(ROUND(F17*C17/E17,0),G17))</f>
        <v/>
      </c>
      <c r="J17" s="10" t="str">
        <f aca="false">IF(E17="","",MAX(ROUND(F17+(C17-E17)*(F17/E17),0),G17))</f>
        <v/>
      </c>
      <c r="K17" s="10" t="n">
        <f aca="false">ROUND(G17/$C$2*$E$2,0)</f>
        <v>3</v>
      </c>
      <c r="L17" s="11" t="n">
        <f aca="false">IF(E17="",K17,I17)</f>
        <v>3</v>
      </c>
      <c r="M17" s="11" t="n">
        <f aca="false">MAX(L17-G17,0)</f>
        <v>1</v>
      </c>
      <c r="N17" s="12" t="str">
        <f aca="false">IF(G17=0,"已停用（今年無案）",IF(AND(E17&lt;&gt;"",E17&lt;5),"高·但基數小·易波動",IF(E17&lt;&gt;"","高·雙法收斂",IF(G17&lt;10,"低·基數過小·僅參考","中·線性推估（缺H1）"))))</f>
        <v>低·基數過小·僅參考</v>
      </c>
    </row>
    <row r="18" customFormat="false" ht="15" hidden="false" customHeight="false" outlineLevel="0" collapsed="false">
      <c r="A18" s="18" t="s">
        <v>32</v>
      </c>
      <c r="B18" s="8" t="n">
        <v>0</v>
      </c>
      <c r="C18" s="8" t="n">
        <v>0</v>
      </c>
      <c r="D18" s="8"/>
      <c r="E18" s="8"/>
      <c r="F18" s="8"/>
      <c r="G18" s="8" t="n">
        <v>1</v>
      </c>
      <c r="H18" s="14" t="str">
        <f aca="false">IF(E18="","",C18/E18)</f>
        <v/>
      </c>
      <c r="I18" s="15" t="str">
        <f aca="false">IF(E18="","",MAX(ROUND(F18*C18/E18,0),G18))</f>
        <v/>
      </c>
      <c r="J18" s="15" t="str">
        <f aca="false">IF(E18="","",MAX(ROUND(F18+(C18-E18)*(F18/E18),0),G18))</f>
        <v/>
      </c>
      <c r="K18" s="15" t="n">
        <f aca="false">ROUND(G18/$C$2*$E$2,0)</f>
        <v>2</v>
      </c>
      <c r="L18" s="16" t="n">
        <f aca="false">IF(E18="",K18,I18)</f>
        <v>2</v>
      </c>
      <c r="M18" s="16" t="n">
        <f aca="false">MAX(L18-G18,0)</f>
        <v>1</v>
      </c>
      <c r="N18" s="17" t="str">
        <f aca="false">IF(G18=0,"已停用（今年無案）",IF(AND(E18&lt;&gt;"",E18&lt;5),"高·但基數小·易波動",IF(E18&lt;&gt;"","高·雙法收斂",IF(G18&lt;10,"低·基數過小·僅參考","中·線性推估（缺H1）"))))</f>
        <v>低·基數過小·僅參考</v>
      </c>
    </row>
    <row r="19" customFormat="false" ht="15" hidden="false" customHeight="false" outlineLevel="0" collapsed="false">
      <c r="A19" s="2" t="s">
        <v>33</v>
      </c>
      <c r="B19" s="8" t="n">
        <v>8</v>
      </c>
      <c r="C19" s="8" t="n">
        <v>0</v>
      </c>
      <c r="D19" s="8"/>
      <c r="E19" s="8"/>
      <c r="F19" s="8"/>
      <c r="G19" s="8" t="n">
        <v>0</v>
      </c>
      <c r="H19" s="9" t="str">
        <f aca="false">IF(E19="","",C19/E19)</f>
        <v/>
      </c>
      <c r="I19" s="10" t="str">
        <f aca="false">IF(E19="","",MAX(ROUND(F19*C19/E19,0),G19))</f>
        <v/>
      </c>
      <c r="J19" s="10" t="str">
        <f aca="false">IF(E19="","",MAX(ROUND(F19+(C19-E19)*(F19/E19),0),G19))</f>
        <v/>
      </c>
      <c r="K19" s="10" t="n">
        <f aca="false">ROUND(G19/$C$2*$E$2,0)</f>
        <v>0</v>
      </c>
      <c r="L19" s="11" t="n">
        <f aca="false">IF(E19="",K19,I19)</f>
        <v>0</v>
      </c>
      <c r="M19" s="11" t="n">
        <f aca="false">MAX(L19-G19,0)</f>
        <v>0</v>
      </c>
      <c r="N19" s="12" t="str">
        <f aca="false">IF(G19=0,"已停用（今年無案）",IF(AND(E19&lt;&gt;"",E19&lt;5),"高·但基數小·易波動",IF(E19&lt;&gt;"","高·雙法收斂",IF(G19&lt;10,"低·基數過小·僅參考","中·線性推估（缺H1）"))))</f>
        <v>已停用（今年無案）</v>
      </c>
    </row>
    <row r="20" customFormat="false" ht="15" hidden="false" customHeight="false" outlineLevel="0" collapsed="false">
      <c r="A20" s="19" t="s">
        <v>34</v>
      </c>
      <c r="B20" s="20" t="n">
        <f aca="false">SUM(B5:B19)</f>
        <v>243</v>
      </c>
      <c r="C20" s="20" t="n">
        <f aca="false">SUM(C5:C19)</f>
        <v>348</v>
      </c>
      <c r="D20" s="20" t="n">
        <f aca="false">SUM(D5:D19)</f>
        <v>42</v>
      </c>
      <c r="E20" s="20" t="n">
        <f aca="false">SUM(E5:E19)</f>
        <v>101</v>
      </c>
      <c r="F20" s="20" t="n">
        <f aca="false">SUM(F5:F19)</f>
        <v>133</v>
      </c>
      <c r="G20" s="20" t="n">
        <f aca="false">SUM(G5:G19)</f>
        <v>231</v>
      </c>
      <c r="H20" s="21"/>
      <c r="I20" s="21"/>
      <c r="J20" s="21"/>
      <c r="K20" s="21"/>
      <c r="L20" s="20" t="n">
        <f aca="false">SUM(L5:L19)</f>
        <v>371</v>
      </c>
      <c r="M20" s="20" t="n">
        <f aca="false">SUM(M5:M19)</f>
        <v>140</v>
      </c>
      <c r="N20" s="22" t="s">
        <v>35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6" hidden="false" customHeight="false" outlineLevel="0" collapsed="false">
      <c r="A1" s="23" t="s">
        <v>36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5" t="s">
        <v>37</v>
      </c>
    </row>
    <row r="4" customFormat="false" ht="15" hidden="false" customHeight="false" outlineLevel="0" collapsed="false">
      <c r="A4" s="24"/>
    </row>
    <row r="5" customFormat="false" ht="17.15" hidden="false" customHeight="false" outlineLevel="0" collapsed="false">
      <c r="A5" s="26" t="s">
        <v>38</v>
      </c>
    </row>
    <row r="6" customFormat="false" ht="15" hidden="false" customHeight="false" outlineLevel="0" collapsed="false">
      <c r="A6" s="27" t="s">
        <v>39</v>
      </c>
    </row>
    <row r="7" customFormat="false" ht="15" hidden="false" customHeight="false" outlineLevel="0" collapsed="false">
      <c r="A7" s="25" t="s">
        <v>40</v>
      </c>
    </row>
    <row r="8" customFormat="false" ht="15" hidden="false" customHeight="false" outlineLevel="0" collapsed="false">
      <c r="A8" s="25" t="s">
        <v>41</v>
      </c>
    </row>
    <row r="9" customFormat="false" ht="15" hidden="false" customHeight="false" outlineLevel="0" collapsed="false">
      <c r="A9" s="27" t="s">
        <v>42</v>
      </c>
    </row>
    <row r="10" customFormat="false" ht="15" hidden="false" customHeight="false" outlineLevel="0" collapsed="false">
      <c r="A10" s="27"/>
    </row>
    <row r="11" customFormat="false" ht="17.15" hidden="false" customHeight="false" outlineLevel="0" collapsed="false">
      <c r="A11" s="26" t="s">
        <v>43</v>
      </c>
    </row>
    <row r="12" customFormat="false" ht="15" hidden="false" customHeight="false" outlineLevel="0" collapsed="false">
      <c r="A12" s="27" t="s">
        <v>44</v>
      </c>
    </row>
    <row r="13" customFormat="false" ht="15" hidden="false" customHeight="false" outlineLevel="0" collapsed="false">
      <c r="A13" s="28" t="s">
        <v>45</v>
      </c>
    </row>
    <row r="14" customFormat="false" ht="15" hidden="false" customHeight="false" outlineLevel="0" collapsed="false">
      <c r="A14" s="25" t="s">
        <v>46</v>
      </c>
    </row>
    <row r="15" customFormat="false" ht="15" hidden="false" customHeight="false" outlineLevel="0" collapsed="false">
      <c r="A15" s="27" t="s">
        <v>47</v>
      </c>
    </row>
    <row r="16" customFormat="false" ht="15" hidden="false" customHeight="false" outlineLevel="0" collapsed="false">
      <c r="A16" s="27"/>
    </row>
    <row r="17" customFormat="false" ht="17.15" hidden="false" customHeight="false" outlineLevel="0" collapsed="false">
      <c r="A17" s="26" t="s">
        <v>48</v>
      </c>
    </row>
    <row r="18" customFormat="false" ht="15" hidden="false" customHeight="false" outlineLevel="0" collapsed="false">
      <c r="A18" s="25" t="s">
        <v>49</v>
      </c>
    </row>
    <row r="19" customFormat="false" ht="15" hidden="false" customHeight="false" outlineLevel="0" collapsed="false">
      <c r="A19" s="27" t="s">
        <v>50</v>
      </c>
    </row>
    <row r="20" customFormat="false" ht="15" hidden="false" customHeight="false" outlineLevel="0" collapsed="false">
      <c r="A20" s="27"/>
    </row>
    <row r="21" customFormat="false" ht="17.15" hidden="false" customHeight="false" outlineLevel="0" collapsed="false">
      <c r="A21" s="26" t="s">
        <v>51</v>
      </c>
    </row>
    <row r="22" customFormat="false" ht="15" hidden="false" customHeight="false" outlineLevel="0" collapsed="false">
      <c r="A22" s="25" t="s">
        <v>52</v>
      </c>
    </row>
    <row r="23" customFormat="false" ht="15" hidden="false" customHeight="false" outlineLevel="0" collapsed="false">
      <c r="A23" s="27" t="s">
        <v>53</v>
      </c>
    </row>
    <row r="24" customFormat="false" ht="15" hidden="false" customHeight="false" outlineLevel="0" collapsed="false">
      <c r="A24" s="27"/>
    </row>
    <row r="25" customFormat="false" ht="17.15" hidden="false" customHeight="false" outlineLevel="0" collapsed="false">
      <c r="A25" s="29" t="s">
        <v>54</v>
      </c>
    </row>
    <row r="26" customFormat="false" ht="15" hidden="false" customHeight="false" outlineLevel="0" collapsed="false">
      <c r="A26" s="27" t="s">
        <v>55</v>
      </c>
    </row>
    <row r="27" customFormat="false" ht="15" hidden="false" customHeight="false" outlineLevel="0" collapsed="false">
      <c r="A27" s="27" t="s">
        <v>56</v>
      </c>
    </row>
    <row r="28" customFormat="false" ht="15" hidden="false" customHeight="false" outlineLevel="0" collapsed="false">
      <c r="A28" s="27"/>
    </row>
    <row r="29" customFormat="false" ht="17.15" hidden="false" customHeight="false" outlineLevel="0" collapsed="false">
      <c r="A29" s="26" t="s">
        <v>57</v>
      </c>
    </row>
    <row r="30" customFormat="false" ht="15" hidden="false" customHeight="false" outlineLevel="0" collapsed="false">
      <c r="A30" s="27" t="s">
        <v>58</v>
      </c>
    </row>
    <row r="31" customFormat="false" ht="15" hidden="false" customHeight="false" outlineLevel="0" collapsed="false">
      <c r="A31" s="27" t="s">
        <v>59</v>
      </c>
    </row>
    <row r="32" customFormat="false" ht="15" hidden="false" customHeight="false" outlineLevel="0" collapsed="false">
      <c r="A32" s="27" t="s">
        <v>60</v>
      </c>
    </row>
    <row r="33" customFormat="false" ht="15" hidden="false" customHeight="false" outlineLevel="0" collapsed="false">
      <c r="A33" s="27" t="s">
        <v>61</v>
      </c>
    </row>
    <row r="34" customFormat="false" ht="15" hidden="false" customHeight="false" outlineLevel="0" collapsed="false">
      <c r="A34" s="27" t="s">
        <v>62</v>
      </c>
    </row>
    <row r="35" customFormat="false" ht="15" hidden="false" customHeight="false" outlineLevel="0" collapsed="false">
      <c r="A35" s="27"/>
    </row>
    <row r="36" customFormat="false" ht="17.15" hidden="false" customHeight="false" outlineLevel="0" collapsed="false">
      <c r="A36" s="26" t="s">
        <v>63</v>
      </c>
    </row>
    <row r="37" customFormat="false" ht="15" hidden="false" customHeight="false" outlineLevel="0" collapsed="false">
      <c r="A37" s="24" t="s">
        <v>64</v>
      </c>
    </row>
    <row r="38" customFormat="false" ht="15" hidden="false" customHeight="false" outlineLevel="0" collapsed="false">
      <c r="A38" s="24" t="s">
        <v>65</v>
      </c>
    </row>
    <row r="39" customFormat="false" ht="15" hidden="false" customHeight="false" outlineLevel="0" collapsed="false">
      <c r="A39" s="2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2026-08-05T02:56:06Z</dcterms:created>
  <dc:creator>openpyxl</dc:creator>
  <dc:description/>
  <dc:language>en-US</dc:language>
  <cp:lastModifiedBy/>
  <dcterms:modified xsi:type="dcterms:W3CDTF">2026-08-05T02:56:06Z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