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件數預估" sheetId="1" state="visible" r:id="rId3"/>
    <sheet name="金額分析" sheetId="2" state="visible" r:id="rId4"/>
    <sheet name="週期時間" sheetId="3" state="visible" r:id="rId5"/>
    <sheet name="公式說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2026/1/1~8/5 = 217</t>
        </r>
        <r>
          <rPr>
            <sz val="10"/>
            <rFont val="Noto Sans CJK SC"/>
            <family val="2"/>
          </rPr>
          <t xml:space="preserve">天。日期更新改這格。</t>
        </r>
      </text>
    </comment>
  </commentList>
</comments>
</file>

<file path=xl/sharedStrings.xml><?xml version="1.0" encoding="utf-8"?>
<sst xmlns="http://schemas.openxmlformats.org/spreadsheetml/2006/main" count="116" uniqueCount="80">
  <si>
    <r>
      <rPr>
        <b val="true"/>
        <sz val="14"/>
        <color rgb="FFFFFFFF"/>
        <rFont val="Noto Sans CJK SC"/>
        <family val="2"/>
      </rPr>
      <t xml:space="preserve">系統別 </t>
    </r>
    <r>
      <rPr>
        <b val="true"/>
        <sz val="14"/>
        <color rgb="FFFFFFFF"/>
        <rFont val="Arial"/>
        <family val="0"/>
        <charset val="1"/>
      </rPr>
      <t xml:space="preserve">2026 </t>
    </r>
    <r>
      <rPr>
        <b val="true"/>
        <sz val="14"/>
        <color rgb="FFFFFFFF"/>
        <rFont val="Noto Sans CJK SC"/>
        <family val="2"/>
      </rPr>
      <t xml:space="preserve">全年件數預估（截至 </t>
    </r>
    <r>
      <rPr>
        <b val="true"/>
        <sz val="14"/>
        <color rgb="FFFFFFFF"/>
        <rFont val="Arial"/>
        <family val="0"/>
        <charset val="1"/>
      </rPr>
      <t xml:space="preserve">8/5 → </t>
    </r>
    <r>
      <rPr>
        <b val="true"/>
        <sz val="14"/>
        <color rgb="FFFFFFFF"/>
        <rFont val="Noto Sans CJK SC"/>
        <family val="2"/>
      </rPr>
      <t xml:space="preserve">全年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SC"/>
        <family val="2"/>
      </rPr>
      <t xml:space="preserve">剩餘）</t>
    </r>
  </si>
  <si>
    <t xml:space="preserve">參數</t>
  </si>
  <si>
    <t xml:space="preserve">已過天數</t>
  </si>
  <si>
    <t xml:space="preserve">全年天數</t>
  </si>
  <si>
    <r>
      <rPr>
        <i val="true"/>
        <sz val="9"/>
        <color rgb="FF555555"/>
        <rFont val="Noto Sans CJK SC"/>
        <family val="2"/>
      </rPr>
      <t xml:space="preserve">（黃底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可改的原始輸入；改了右側全部自動重算）</t>
    </r>
  </si>
  <si>
    <t xml:space="preserve">系統</t>
  </si>
  <si>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全年</t>
    </r>
  </si>
  <si>
    <r>
      <rPr>
        <b val="true"/>
        <sz val="10"/>
        <color rgb="FFFFFFFF"/>
        <rFont val="Arial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全年</t>
    </r>
  </si>
  <si>
    <t xml:space="preserve">2024 H1</t>
  </si>
  <si>
    <t xml:space="preserve">2025 H1</t>
  </si>
  <si>
    <t xml:space="preserve">2026 H1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</si>
  <si>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至</t>
    </r>
    <r>
      <rPr>
        <b val="true"/>
        <sz val="10"/>
        <color rgb="FFFFFFFF"/>
        <rFont val="Arial"/>
        <family val="0"/>
        <charset val="1"/>
      </rPr>
      <t xml:space="preserve">8/5</t>
    </r>
  </si>
  <si>
    <r>
      <rPr>
        <b val="true"/>
        <sz val="10"/>
        <color rgb="FFFFFFFF"/>
        <rFont val="Arial"/>
        <family val="0"/>
        <charset val="1"/>
      </rPr>
      <t xml:space="preserve">H1</t>
    </r>
    <r>
      <rPr>
        <b val="true"/>
        <sz val="10"/>
        <color rgb="FFFFFFFF"/>
        <rFont val="Noto Sans CJK SC"/>
        <family val="2"/>
      </rPr>
      <t xml:space="preserve">年增</t>
    </r>
  </si>
  <si>
    <r>
      <rPr>
        <b val="true"/>
        <sz val="10"/>
        <color rgb="FFFFFFFF"/>
        <rFont val="Noto Sans CJK SC"/>
        <family val="2"/>
      </rPr>
      <t xml:space="preserve">季節係數</t>
    </r>
    <r>
      <rPr>
        <b val="true"/>
        <sz val="10"/>
        <color rgb="FFFFFFFF"/>
        <rFont val="Arial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</si>
  <si>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法一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季節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</si>
  <si>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法二</t>
    </r>
    <r>
      <rPr>
        <b val="true"/>
        <sz val="10"/>
        <color rgb="FFFFFFFF"/>
        <rFont val="Arial"/>
        <family val="0"/>
        <charset val="1"/>
      </rPr>
      <t xml:space="preserve">(H2</t>
    </r>
    <r>
      <rPr>
        <b val="true"/>
        <sz val="10"/>
        <color rgb="FFFFFFFF"/>
        <rFont val="Noto Sans CJK SC"/>
        <family val="2"/>
      </rPr>
      <t xml:space="preserve">年增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</si>
  <si>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線性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參考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</si>
  <si>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建議全年</t>
  </si>
  <si>
    <r>
      <rPr>
        <b val="true"/>
        <sz val="10"/>
        <color rgb="FFFFFFFF"/>
        <rFont val="Noto Sans CJK SC"/>
        <family val="2"/>
      </rPr>
      <t xml:space="preserve">剩餘</t>
    </r>
    <r>
      <rPr>
        <b val="true"/>
        <sz val="10"/>
        <color rgb="FFFFFFFF"/>
        <rFont val="Arial"/>
        <family val="0"/>
        <charset val="1"/>
      </rPr>
      <t xml:space="preserve">(8/6–12/31)</t>
    </r>
  </si>
  <si>
    <r>
      <rPr>
        <b val="true"/>
        <sz val="10"/>
        <color rgb="FFFFFFFF"/>
        <rFont val="Noto Sans CJK SC"/>
        <family val="2"/>
      </rPr>
      <t xml:space="preserve">信心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註記</t>
    </r>
  </si>
  <si>
    <t xml:space="preserve">水務</t>
  </si>
  <si>
    <t xml:space="preserve">Relayout</t>
  </si>
  <si>
    <t xml:space="preserve">資安</t>
  </si>
  <si>
    <t xml:space="preserve">消防</t>
  </si>
  <si>
    <t xml:space="preserve">空調</t>
  </si>
  <si>
    <t xml:space="preserve">安全</t>
  </si>
  <si>
    <t xml:space="preserve">建管</t>
  </si>
  <si>
    <t xml:space="preserve">空壓</t>
  </si>
  <si>
    <t xml:space="preserve">電力</t>
  </si>
  <si>
    <t xml:space="preserve">二次配</t>
  </si>
  <si>
    <t xml:space="preserve">抽氣</t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</si>
  <si>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自動化</t>
    </r>
  </si>
  <si>
    <t xml:space="preserve">環保</t>
  </si>
  <si>
    <t xml:space="preserve">其他</t>
  </si>
  <si>
    <r>
      <rPr>
        <b val="true"/>
        <sz val="10"/>
        <rFont val="Noto Sans CJK SC"/>
        <family val="2"/>
      </rPr>
      <t xml:space="preserve">廢水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新建</t>
    </r>
  </si>
  <si>
    <t xml:space="preserve">總計</t>
  </si>
  <si>
    <r>
      <rPr>
        <b val="true"/>
        <sz val="14"/>
        <color rgb="FFFFFFFF"/>
        <rFont val="Noto Sans CJK SC"/>
        <family val="2"/>
      </rPr>
      <t xml:space="preserve">系統別 </t>
    </r>
    <r>
      <rPr>
        <b val="true"/>
        <sz val="14"/>
        <color rgb="FFFFFFFF"/>
        <rFont val="Arial"/>
        <family val="0"/>
        <charset val="1"/>
      </rPr>
      <t xml:space="preserve">H1 </t>
    </r>
    <r>
      <rPr>
        <b val="true"/>
        <sz val="14"/>
        <color rgb="FFFFFFFF"/>
        <rFont val="Noto Sans CJK SC"/>
        <family val="2"/>
      </rPr>
      <t xml:space="preserve">金額趨勢與 </t>
    </r>
    <r>
      <rPr>
        <b val="true"/>
        <sz val="14"/>
        <color rgb="FFFFFFFF"/>
        <rFont val="Arial"/>
        <family val="0"/>
        <charset val="1"/>
      </rPr>
      <t xml:space="preserve">2026 </t>
    </r>
    <r>
      <rPr>
        <b val="true"/>
        <sz val="14"/>
        <color rgb="FFFFFFFF"/>
        <rFont val="Noto Sans CJK SC"/>
        <family val="2"/>
      </rPr>
      <t xml:space="preserve">全年金額推估</t>
    </r>
  </si>
  <si>
    <r>
      <rPr>
        <i val="true"/>
        <sz val="9"/>
        <color rgb="FF555555"/>
        <rFont val="Noto Sans CJK SC"/>
        <family val="2"/>
      </rPr>
      <t xml:space="preserve">全年金額估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建議全年件數 </t>
    </r>
    <r>
      <rPr>
        <i val="true"/>
        <sz val="9"/>
        <color rgb="FF555555"/>
        <rFont val="Arial"/>
        <family val="0"/>
        <charset val="1"/>
      </rPr>
      <t xml:space="preserve">× 2026H1</t>
    </r>
    <r>
      <rPr>
        <i val="true"/>
        <sz val="9"/>
        <color rgb="FF555555"/>
        <rFont val="Noto Sans CJK SC"/>
        <family val="2"/>
      </rPr>
      <t xml:space="preserve">單件均價（假設 </t>
    </r>
    <r>
      <rPr>
        <i val="true"/>
        <sz val="9"/>
        <color rgb="FF555555"/>
        <rFont val="Arial"/>
        <family val="0"/>
        <charset val="1"/>
      </rPr>
      <t xml:space="preserve">H2 </t>
    </r>
    <r>
      <rPr>
        <i val="true"/>
        <sz val="9"/>
        <color rgb="FF555555"/>
        <rFont val="Noto Sans CJK SC"/>
        <family val="2"/>
      </rPr>
      <t xml:space="preserve">單件均價 ≈ </t>
    </r>
    <r>
      <rPr>
        <i val="true"/>
        <sz val="9"/>
        <color rgb="FF555555"/>
        <rFont val="Arial"/>
        <family val="0"/>
        <charset val="1"/>
      </rPr>
      <t xml:space="preserve">H1</t>
    </r>
    <r>
      <rPr>
        <i val="true"/>
        <sz val="9"/>
        <color rgb="FF555555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</si>
  <si>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2024 H1 </t>
    </r>
    <r>
      <rPr>
        <b val="true"/>
        <sz val="10"/>
        <color rgb="FFFFFFFF"/>
        <rFont val="Noto Sans CJK SC"/>
        <family val="2"/>
      </rPr>
      <t xml:space="preserve">金額</t>
    </r>
  </si>
  <si>
    <r>
      <rPr>
        <b val="true"/>
        <sz val="10"/>
        <color rgb="FFFFFFFF"/>
        <rFont val="Arial"/>
        <family val="0"/>
        <charset val="1"/>
      </rPr>
      <t xml:space="preserve">2025 H1 </t>
    </r>
    <r>
      <rPr>
        <b val="true"/>
        <sz val="10"/>
        <color rgb="FFFFFFFF"/>
        <rFont val="Noto Sans CJK SC"/>
        <family val="2"/>
      </rPr>
      <t xml:space="preserve">金額</t>
    </r>
  </si>
  <si>
    <r>
      <rPr>
        <b val="true"/>
        <sz val="10"/>
        <color rgb="FFFFFFFF"/>
        <rFont val="Arial"/>
        <family val="0"/>
        <charset val="1"/>
      </rPr>
      <t xml:space="preserve">2026 H1 </t>
    </r>
    <r>
      <rPr>
        <b val="true"/>
        <sz val="10"/>
        <color rgb="FFFFFFFF"/>
        <rFont val="Noto Sans CJK SC"/>
        <family val="2"/>
      </rPr>
      <t xml:space="preserve">金額</t>
    </r>
  </si>
  <si>
    <r>
      <rPr>
        <b val="true"/>
        <sz val="10"/>
        <color rgb="FFFFFFFF"/>
        <rFont val="Arial"/>
        <family val="0"/>
        <charset val="1"/>
      </rPr>
      <t xml:space="preserve">H1</t>
    </r>
    <r>
      <rPr>
        <b val="true"/>
        <sz val="10"/>
        <color rgb="FFFFFFFF"/>
        <rFont val="Noto Sans CJK SC"/>
        <family val="2"/>
      </rPr>
      <t xml:space="preserve">金額年增</t>
    </r>
  </si>
  <si>
    <r>
      <rPr>
        <b val="true"/>
        <sz val="10"/>
        <color rgb="FFFFFFFF"/>
        <rFont val="Arial"/>
        <family val="0"/>
        <charset val="1"/>
      </rPr>
      <t xml:space="preserve">2026H1 </t>
    </r>
    <r>
      <rPr>
        <b val="true"/>
        <sz val="10"/>
        <color rgb="FFFFFFFF"/>
        <rFont val="Noto Sans CJK SC"/>
        <family val="2"/>
      </rPr>
      <t xml:space="preserve">單件均價</t>
    </r>
  </si>
  <si>
    <t xml:space="preserve">建議全年件數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</si>
  <si>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全年金額估</t>
    </r>
  </si>
  <si>
    <r>
      <rPr>
        <b val="true"/>
        <sz val="14"/>
        <color rgb="FFFFFFFF"/>
        <rFont val="Noto Sans CJK SC"/>
        <family val="2"/>
      </rPr>
      <t xml:space="preserve">各系統平均週期時間 </t>
    </r>
    <r>
      <rPr>
        <b val="true"/>
        <sz val="14"/>
        <color rgb="FFFFFFFF"/>
        <rFont val="Arial"/>
        <family val="0"/>
        <charset val="1"/>
      </rPr>
      <t xml:space="preserve">cycletime AVG </t>
    </r>
    <r>
      <rPr>
        <b val="true"/>
        <sz val="14"/>
        <color rgb="FFFFFFFF"/>
        <rFont val="Noto Sans CJK SC"/>
        <family val="2"/>
      </rPr>
      <t xml:space="preserve">趨勢（數字越低</t>
    </r>
    <r>
      <rPr>
        <b val="true"/>
        <sz val="14"/>
        <color rgb="FFFFFFFF"/>
        <rFont val="Arial"/>
        <family val="0"/>
        <charset val="1"/>
      </rPr>
      <t xml:space="preserve">=</t>
    </r>
    <r>
      <rPr>
        <b val="true"/>
        <sz val="14"/>
        <color rgb="FFFFFFFF"/>
        <rFont val="Noto Sans CJK SC"/>
        <family val="2"/>
      </rPr>
      <t xml:space="preserve">越快）</t>
    </r>
  </si>
  <si>
    <r>
      <rPr>
        <b val="true"/>
        <sz val="10"/>
        <color rgb="FFFFFFFF"/>
        <rFont val="Arial"/>
        <family val="0"/>
        <charset val="1"/>
      </rPr>
      <t xml:space="preserve">2025→2026 </t>
    </r>
    <r>
      <rPr>
        <b val="true"/>
        <sz val="10"/>
        <color rgb="FFFFFFFF"/>
        <rFont val="Noto Sans CJK SC"/>
        <family val="2"/>
      </rPr>
      <t xml:space="preserve">趨勢</t>
    </r>
  </si>
  <si>
    <r>
      <rPr>
        <i val="true"/>
        <sz val="9"/>
        <color rgb="FF555555"/>
        <rFont val="Noto Sans CJK SC"/>
        <family val="2"/>
      </rPr>
      <t xml:space="preserve">註：</t>
    </r>
    <r>
      <rPr>
        <i val="true"/>
        <sz val="9"/>
        <color rgb="FF555555"/>
        <rFont val="Arial"/>
        <family val="0"/>
        <charset val="1"/>
      </rPr>
      <t xml:space="preserve">cycletime AVG = </t>
    </r>
    <r>
      <rPr>
        <i val="true"/>
        <sz val="9"/>
        <color rgb="FF555555"/>
        <rFont val="Noto Sans CJK SC"/>
        <family val="2"/>
      </rPr>
      <t xml:space="preserve">該類別 </t>
    </r>
    <r>
      <rPr>
        <i val="true"/>
        <sz val="9"/>
        <color rgb="FF555555"/>
        <rFont val="Arial"/>
        <family val="0"/>
        <charset val="1"/>
      </rPr>
      <t xml:space="preserve">H1 </t>
    </r>
    <r>
      <rPr>
        <i val="true"/>
        <sz val="9"/>
        <color rgb="FF555555"/>
        <rFont val="Noto Sans CJK SC"/>
        <family val="2"/>
      </rPr>
      <t xml:space="preserve">總週期 </t>
    </r>
    <r>
      <rPr>
        <i val="true"/>
        <sz val="9"/>
        <color rgb="FF555555"/>
        <rFont val="Arial"/>
        <family val="0"/>
        <charset val="1"/>
      </rPr>
      <t xml:space="preserve">÷ </t>
    </r>
    <r>
      <rPr>
        <i val="true"/>
        <sz val="9"/>
        <color rgb="FF555555"/>
        <rFont val="Noto Sans CJK SC"/>
        <family val="2"/>
      </rPr>
      <t xml:space="preserve">件數；為每案平均處理時間。</t>
    </r>
    <r>
      <rPr>
        <i val="true"/>
        <sz val="9"/>
        <color rgb="FF555555"/>
        <rFont val="Arial"/>
        <family val="0"/>
        <charset val="1"/>
      </rPr>
      <t xml:space="preserve">AI</t>
    </r>
    <r>
      <rPr>
        <i val="true"/>
        <sz val="9"/>
        <color rgb="FF555555"/>
        <rFont val="Noto Sans CJK SC"/>
        <family val="2"/>
      </rPr>
      <t xml:space="preserve">自動化 </t>
    </r>
    <r>
      <rPr>
        <i val="true"/>
        <sz val="9"/>
        <color rgb="FF555555"/>
        <rFont val="Arial"/>
        <family val="0"/>
        <charset val="1"/>
      </rPr>
      <t xml:space="preserve">11.5 </t>
    </r>
    <r>
      <rPr>
        <i val="true"/>
        <sz val="9"/>
        <color rgb="FF555555"/>
        <rFont val="Noto Sans CJK SC"/>
        <family val="2"/>
      </rPr>
      <t xml:space="preserve">偏高（新型態）。</t>
    </r>
  </si>
  <si>
    <t xml:space="preserve">系統別預估 — 方法與公式</t>
  </si>
  <si>
    <r>
      <rPr>
        <sz val="10"/>
        <color rgb="FFC00000"/>
        <rFont val="Noto Sans CJK SC"/>
        <family val="2"/>
      </rPr>
      <t xml:space="preserve">欄位（每列 </t>
    </r>
    <r>
      <rPr>
        <sz val="10"/>
        <color rgb="FFC00000"/>
        <rFont val="Consolas"/>
        <family val="0"/>
        <charset val="1"/>
      </rPr>
      <t xml:space="preserve">r</t>
    </r>
    <r>
      <rPr>
        <sz val="10"/>
        <color rgb="FFC00000"/>
        <rFont val="Noto Sans CJK SC"/>
        <family val="2"/>
      </rPr>
      <t xml:space="preserve">）：</t>
    </r>
    <r>
      <rPr>
        <sz val="10"/>
        <color rgb="FFC00000"/>
        <rFont val="Consolas"/>
        <family val="0"/>
        <charset val="1"/>
      </rPr>
      <t xml:space="preserve">B=2024</t>
    </r>
    <r>
      <rPr>
        <sz val="10"/>
        <color rgb="FFC00000"/>
        <rFont val="Noto Sans CJK SC"/>
        <family val="2"/>
      </rPr>
      <t xml:space="preserve">全年 </t>
    </r>
    <r>
      <rPr>
        <sz val="10"/>
        <color rgb="FFC00000"/>
        <rFont val="Consolas"/>
        <family val="0"/>
        <charset val="1"/>
      </rPr>
      <t xml:space="preserve">C=2025</t>
    </r>
    <r>
      <rPr>
        <sz val="10"/>
        <color rgb="FFC00000"/>
        <rFont val="Noto Sans CJK SC"/>
        <family val="2"/>
      </rPr>
      <t xml:space="preserve">全年 </t>
    </r>
    <r>
      <rPr>
        <sz val="10"/>
        <color rgb="FFC00000"/>
        <rFont val="Consolas"/>
        <family val="0"/>
        <charset val="1"/>
      </rPr>
      <t xml:space="preserve">D=2024H1 E=2025H1 F=2026H1 G=2026</t>
    </r>
    <r>
      <rPr>
        <sz val="10"/>
        <color rgb="FFC00000"/>
        <rFont val="Noto Sans CJK SC"/>
        <family val="2"/>
      </rPr>
      <t xml:space="preserve">至</t>
    </r>
    <r>
      <rPr>
        <sz val="10"/>
        <color rgb="FFC00000"/>
        <rFont val="Consolas"/>
        <family val="0"/>
        <charset val="1"/>
      </rPr>
      <t xml:space="preserve">8/5</t>
    </r>
  </si>
  <si>
    <r>
      <rPr>
        <b val="true"/>
        <sz val="11"/>
        <color rgb="FF2F5496"/>
        <rFont val="Noto Sans CJK SC"/>
        <family val="2"/>
      </rPr>
      <t xml:space="preserve">■ 法一　季節係數法（主方法，需 </t>
    </r>
    <r>
      <rPr>
        <b val="true"/>
        <sz val="11"/>
        <color rgb="FF2F5496"/>
        <rFont val="Arial"/>
        <family val="0"/>
        <charset val="1"/>
      </rPr>
      <t xml:space="preserve">2025 H1</t>
    </r>
    <r>
      <rPr>
        <b val="true"/>
        <sz val="11"/>
        <color rgb="FF2F5496"/>
        <rFont val="Noto Sans CJK SC"/>
        <family val="2"/>
      </rPr>
      <t xml:space="preserve">）</t>
    </r>
  </si>
  <si>
    <r>
      <rPr>
        <sz val="10"/>
        <color rgb="FFC00000"/>
        <rFont val="Consolas"/>
        <family val="0"/>
        <charset val="1"/>
      </rPr>
      <t xml:space="preserve">   k = C / E</t>
    </r>
    <r>
      <rPr>
        <sz val="10"/>
        <color rgb="FFC00000"/>
        <rFont val="Noto Sans CJK SC"/>
        <family val="2"/>
      </rPr>
      <t xml:space="preserve">　　預估全年 </t>
    </r>
    <r>
      <rPr>
        <sz val="10"/>
        <color rgb="FFC00000"/>
        <rFont val="Consolas"/>
        <family val="0"/>
        <charset val="1"/>
      </rPr>
      <t xml:space="preserve">= MAX( ROUND(F × C / E), G )</t>
    </r>
  </si>
  <si>
    <r>
      <rPr>
        <sz val="10"/>
        <rFont val="Noto Sans CJK SC"/>
        <family val="2"/>
      </rPr>
      <t xml:space="preserve">   只取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（不併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），避免擴張型系統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Relayout)</t>
    </r>
    <r>
      <rPr>
        <sz val="10"/>
        <rFont val="Noto Sans CJK SC"/>
        <family val="2"/>
      </rPr>
      <t xml:space="preserve">被舊基數拉爆。</t>
    </r>
  </si>
  <si>
    <r>
      <rPr>
        <b val="true"/>
        <sz val="11"/>
        <color rgb="FF2F5496"/>
        <rFont val="Noto Sans CJK SC"/>
        <family val="2"/>
      </rPr>
      <t xml:space="preserve">■ 法二　</t>
    </r>
    <r>
      <rPr>
        <b val="true"/>
        <sz val="11"/>
        <color rgb="FF2F5496"/>
        <rFont val="Arial"/>
        <family val="0"/>
        <charset val="1"/>
      </rPr>
      <t xml:space="preserve">H2 </t>
    </r>
    <r>
      <rPr>
        <b val="true"/>
        <sz val="11"/>
        <color rgb="FF2F5496"/>
        <rFont val="Noto Sans CJK SC"/>
        <family val="2"/>
      </rPr>
      <t xml:space="preserve">年增率法（交叉驗證）</t>
    </r>
  </si>
  <si>
    <r>
      <rPr>
        <sz val="10"/>
        <color rgb="FFC00000"/>
        <rFont val="Consolas"/>
        <family val="0"/>
        <charset val="1"/>
      </rPr>
      <t xml:space="preserve">   2025</t>
    </r>
    <r>
      <rPr>
        <sz val="10"/>
        <color rgb="FFC00000"/>
        <rFont val="Noto Sans CJK SC"/>
        <family val="2"/>
      </rPr>
      <t xml:space="preserve">下半年 </t>
    </r>
    <r>
      <rPr>
        <sz val="10"/>
        <color rgb="FFC00000"/>
        <rFont val="Consolas"/>
        <family val="0"/>
        <charset val="1"/>
      </rPr>
      <t xml:space="preserve">= C − E</t>
    </r>
    <r>
      <rPr>
        <sz val="10"/>
        <color rgb="FFC00000"/>
        <rFont val="Noto Sans CJK SC"/>
        <family val="2"/>
      </rPr>
      <t xml:space="preserve">　</t>
    </r>
    <r>
      <rPr>
        <sz val="10"/>
        <color rgb="FFC00000"/>
        <rFont val="Consolas"/>
        <family val="0"/>
        <charset val="1"/>
      </rPr>
      <t xml:space="preserve">g = F / E</t>
    </r>
  </si>
  <si>
    <r>
      <rPr>
        <sz val="10"/>
        <color rgb="FFC00000"/>
        <rFont val="Noto Sans CJK SC"/>
        <family val="2"/>
      </rPr>
      <t xml:space="preserve">   預估全年 </t>
    </r>
    <r>
      <rPr>
        <sz val="10"/>
        <color rgb="FFC00000"/>
        <rFont val="Consolas"/>
        <family val="0"/>
        <charset val="1"/>
      </rPr>
      <t xml:space="preserve">= MAX( ROUND( F + (C − E) × (F / E) ), G )</t>
    </r>
  </si>
  <si>
    <t xml:space="preserve">   與法一接近就放心用；差很大代表季節性不穩，改列區間。</t>
  </si>
  <si>
    <r>
      <rPr>
        <b val="true"/>
        <sz val="11"/>
        <color rgb="FF2F5496"/>
        <rFont val="Noto Sans CJK SC"/>
        <family val="2"/>
      </rPr>
      <t xml:space="preserve">■ 線性推估（僅缺 </t>
    </r>
    <r>
      <rPr>
        <b val="true"/>
        <sz val="11"/>
        <color rgb="FF2F5496"/>
        <rFont val="Arial"/>
        <family val="0"/>
        <charset val="1"/>
      </rPr>
      <t xml:space="preserve">2025 H1 </t>
    </r>
    <r>
      <rPr>
        <b val="true"/>
        <sz val="11"/>
        <color rgb="FF2F5496"/>
        <rFont val="Noto Sans CJK SC"/>
        <family val="2"/>
      </rPr>
      <t xml:space="preserve">的系統當退路，信心低）</t>
    </r>
  </si>
  <si>
    <r>
      <rPr>
        <sz val="10"/>
        <color rgb="FFC00000"/>
        <rFont val="Noto Sans CJK SC"/>
        <family val="2"/>
      </rPr>
      <t xml:space="preserve">   預估全年 </t>
    </r>
    <r>
      <rPr>
        <sz val="10"/>
        <color rgb="FFC00000"/>
        <rFont val="Consolas"/>
        <family val="0"/>
        <charset val="1"/>
      </rPr>
      <t xml:space="preserve">= ROUND( G ÷ </t>
    </r>
    <r>
      <rPr>
        <sz val="10"/>
        <color rgb="FFC00000"/>
        <rFont val="Noto Sans CJK SC"/>
        <family val="2"/>
      </rPr>
      <t xml:space="preserve">已過天數 </t>
    </r>
    <r>
      <rPr>
        <sz val="10"/>
        <color rgb="FFC00000"/>
        <rFont val="Consolas"/>
        <family val="0"/>
        <charset val="1"/>
      </rPr>
      <t xml:space="preserve">× </t>
    </r>
    <r>
      <rPr>
        <sz val="10"/>
        <color rgb="FFC00000"/>
        <rFont val="Noto Sans CJK SC"/>
        <family val="2"/>
      </rPr>
      <t xml:space="preserve">全年天數 </t>
    </r>
    <r>
      <rPr>
        <sz val="10"/>
        <color rgb="FFC00000"/>
        <rFont val="Consolas"/>
        <family val="0"/>
        <charset val="1"/>
      </rPr>
      <t xml:space="preserve">)</t>
    </r>
    <r>
      <rPr>
        <sz val="10"/>
        <color rgb="FFC00000"/>
        <rFont val="Noto Sans CJK SC"/>
        <family val="2"/>
      </rPr>
      <t xml:space="preserve">　</t>
    </r>
    <r>
      <rPr>
        <sz val="10"/>
        <color rgb="FFC00000"/>
        <rFont val="Consolas"/>
        <family val="0"/>
        <charset val="1"/>
      </rPr>
      <t xml:space="preserve">(217→365</t>
    </r>
    <r>
      <rPr>
        <sz val="10"/>
        <color rgb="FFC00000"/>
        <rFont val="Noto Sans CJK SC"/>
        <family val="2"/>
      </rPr>
      <t xml:space="preserve">，</t>
    </r>
    <r>
      <rPr>
        <sz val="10"/>
        <color rgb="FFC00000"/>
        <rFont val="Consolas"/>
        <family val="0"/>
        <charset val="1"/>
      </rPr>
      <t xml:space="preserve">×1.68)</t>
    </r>
  </si>
  <si>
    <r>
      <rPr>
        <sz val="10"/>
        <rFont val="Noto Sans CJK SC"/>
        <family val="2"/>
      </rPr>
      <t xml:space="preserve">   忽略季節性；本版只剩 二次配</t>
    </r>
    <r>
      <rPr>
        <sz val="10"/>
        <rFont val="Arial"/>
        <family val="0"/>
        <charset val="1"/>
      </rPr>
      <t xml:space="preserve">/AI</t>
    </r>
    <r>
      <rPr>
        <sz val="10"/>
        <rFont val="Noto Sans CJK SC"/>
        <family val="2"/>
      </rPr>
      <t xml:space="preserve">自動化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環保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其他 用它。</t>
    </r>
  </si>
  <si>
    <r>
      <rPr>
        <b val="true"/>
        <sz val="11"/>
        <color rgb="FF2F5496"/>
        <rFont val="Noto Sans CJK SC"/>
        <family val="2"/>
      </rPr>
      <t xml:space="preserve">■ 剩餘（</t>
    </r>
    <r>
      <rPr>
        <b val="true"/>
        <sz val="11"/>
        <color rgb="FF2F5496"/>
        <rFont val="Arial"/>
        <family val="0"/>
        <charset val="1"/>
      </rPr>
      <t xml:space="preserve">8/6–12/31</t>
    </r>
    <r>
      <rPr>
        <b val="true"/>
        <sz val="11"/>
        <color rgb="FF2F5496"/>
        <rFont val="Noto Sans CJK SC"/>
        <family val="2"/>
      </rPr>
      <t xml:space="preserve">）</t>
    </r>
    <r>
      <rPr>
        <b val="true"/>
        <sz val="11"/>
        <color rgb="FF2F5496"/>
        <rFont val="Arial"/>
        <family val="0"/>
        <charset val="1"/>
      </rPr>
      <t xml:space="preserve">= MAX( </t>
    </r>
    <r>
      <rPr>
        <b val="true"/>
        <sz val="11"/>
        <color rgb="FF2F5496"/>
        <rFont val="Noto Sans CJK SC"/>
        <family val="2"/>
      </rPr>
      <t xml:space="preserve">建議全年 − </t>
    </r>
    <r>
      <rPr>
        <b val="true"/>
        <sz val="11"/>
        <color rgb="FF2F5496"/>
        <rFont val="Arial"/>
        <family val="0"/>
        <charset val="1"/>
      </rPr>
      <t xml:space="preserve">G , 0 )</t>
    </r>
  </si>
  <si>
    <r>
      <rPr>
        <sz val="10"/>
        <rFont val="Noto Sans CJK SC"/>
        <family val="2"/>
      </rPr>
      <t xml:space="preserve">   不是「</t>
    </r>
    <r>
      <rPr>
        <sz val="10"/>
        <rFont val="Arial"/>
        <family val="0"/>
        <charset val="1"/>
      </rPr>
      <t xml:space="preserve">H2</t>
    </r>
    <r>
      <rPr>
        <sz val="10"/>
        <rFont val="Noto Sans CJK SC"/>
        <family val="2"/>
      </rPr>
      <t xml:space="preserve">整段」。</t>
    </r>
    <r>
      <rPr>
        <sz val="10"/>
        <rFont val="Arial"/>
        <family val="0"/>
        <charset val="1"/>
      </rPr>
      <t xml:space="preserve">G(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8/5) </t>
    </r>
    <r>
      <rPr>
        <sz val="10"/>
        <rFont val="Noto Sans CJK SC"/>
        <family val="2"/>
      </rPr>
      <t xml:space="preserve">已含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月與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月初，直接算 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會重複計算。</t>
    </r>
  </si>
  <si>
    <r>
      <rPr>
        <b val="true"/>
        <sz val="11"/>
        <color rgb="FF2F5496"/>
        <rFont val="Arial"/>
        <family val="0"/>
        <charset val="1"/>
      </rPr>
      <t xml:space="preserve">■ MAX(…,G) </t>
    </r>
    <r>
      <rPr>
        <b val="true"/>
        <sz val="11"/>
        <color rgb="FF2F5496"/>
        <rFont val="Noto Sans CJK SC"/>
        <family val="2"/>
      </rPr>
      <t xml:space="preserve">保護條款</t>
    </r>
  </si>
  <si>
    <r>
      <rPr>
        <sz val="10"/>
        <rFont val="Noto Sans CJK SC"/>
        <family val="2"/>
      </rPr>
      <t xml:space="preserve">   模型全年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已發生的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時（今年前重後輕），至少等於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，避免剩餘為負。</t>
    </r>
  </si>
  <si>
    <r>
      <rPr>
        <sz val="10"/>
        <rFont val="Noto Sans CJK SC"/>
        <family val="2"/>
      </rPr>
      <t xml:space="preserve">   本版觸發：電力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模型</t>
    </r>
    <r>
      <rPr>
        <sz val="10"/>
        <rFont val="Arial"/>
        <family val="0"/>
        <charset val="1"/>
      </rPr>
      <t xml:space="preserve">9&lt;</t>
    </r>
    <r>
      <rPr>
        <sz val="10"/>
        <rFont val="Noto Sans CJK SC"/>
        <family val="2"/>
      </rPr>
      <t xml:space="preserve">實際</t>
    </r>
    <r>
      <rPr>
        <sz val="10"/>
        <rFont val="Arial"/>
        <family val="0"/>
        <charset val="1"/>
      </rPr>
      <t xml:space="preserve">10→10)</t>
    </r>
    <r>
      <rPr>
        <sz val="10"/>
        <rFont val="Noto Sans CJK SC"/>
        <family val="2"/>
      </rPr>
      <t xml:space="preserve">、抽氣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模型</t>
    </r>
    <r>
      <rPr>
        <sz val="10"/>
        <rFont val="Arial"/>
        <family val="0"/>
        <charset val="1"/>
      </rPr>
      <t xml:space="preserve">4&lt;</t>
    </r>
    <r>
      <rPr>
        <sz val="10"/>
        <rFont val="Noto Sans CJK SC"/>
        <family val="2"/>
      </rPr>
      <t xml:space="preserve">實際</t>
    </r>
    <r>
      <rPr>
        <sz val="10"/>
        <rFont val="Arial"/>
        <family val="0"/>
        <charset val="1"/>
      </rPr>
      <t xml:space="preserve">5→5)</t>
    </r>
    <r>
      <rPr>
        <sz val="10"/>
        <rFont val="Noto Sans CJK SC"/>
        <family val="2"/>
      </rPr>
      <t xml:space="preserve">，剩餘皆為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</si>
  <si>
    <t xml:space="preserve">■ 金額推估（金額分析頁）</t>
  </si>
  <si>
    <r>
      <rPr>
        <sz val="10"/>
        <rFont val="Noto Sans CJK SC"/>
        <family val="2"/>
      </rPr>
      <t xml:space="preserve">   無全年金額資料，故：全年金額估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建議全年件數 </t>
    </r>
    <r>
      <rPr>
        <sz val="10"/>
        <rFont val="Arial"/>
        <family val="0"/>
        <charset val="1"/>
      </rPr>
      <t xml:space="preserve">× 2026H1</t>
    </r>
    <r>
      <rPr>
        <sz val="10"/>
        <rFont val="Noto Sans CJK SC"/>
        <family val="2"/>
      </rPr>
      <t xml:space="preserve">單件均價。</t>
    </r>
  </si>
  <si>
    <r>
      <rPr>
        <sz val="10"/>
        <rFont val="Noto Sans CJK SC"/>
        <family val="2"/>
      </rPr>
      <t xml:space="preserve">   假設 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單件均價 ≈ 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；若 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案件規模不同需另行調整。</t>
    </r>
  </si>
  <si>
    <t xml:space="preserve">■ 信心分級</t>
  </si>
  <si>
    <r>
      <rPr>
        <sz val="10"/>
        <rFont val="Noto Sans CJK SC"/>
        <family val="2"/>
      </rPr>
      <t xml:space="preserve">   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雙法收斂 → 有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且成長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持平：水務、</t>
    </r>
    <r>
      <rPr>
        <sz val="10"/>
        <rFont val="Arial"/>
        <family val="0"/>
        <charset val="1"/>
      </rPr>
      <t xml:space="preserve">Relayout</t>
    </r>
    <r>
      <rPr>
        <sz val="10"/>
        <rFont val="Noto Sans CJK SC"/>
        <family val="2"/>
      </rPr>
      <t xml:space="preserve">、資安、消防、空壓</t>
    </r>
  </si>
  <si>
    <r>
      <rPr>
        <sz val="10"/>
        <rFont val="Noto Sans CJK SC"/>
        <family val="2"/>
      </rPr>
      <t xml:space="preserve">   有</t>
    </r>
    <r>
      <rPr>
        <sz val="10"/>
        <rFont val="Arial"/>
        <family val="0"/>
        <charset val="1"/>
      </rPr>
      <t xml:space="preserve">H1·</t>
    </r>
    <r>
      <rPr>
        <sz val="10"/>
        <rFont val="Noto Sans CJK SC"/>
        <family val="2"/>
      </rPr>
      <t xml:space="preserve">大幅下降 → </t>
    </r>
    <r>
      <rPr>
        <sz val="10"/>
        <rFont val="Arial"/>
        <family val="0"/>
        <charset val="1"/>
      </rPr>
      <t xml:space="preserve">2026H1&lt;2025H1×0.7</t>
    </r>
    <r>
      <rPr>
        <sz val="10"/>
        <rFont val="Noto Sans CJK SC"/>
        <family val="2"/>
      </rPr>
      <t xml:space="preserve">：空調、建管、電力、抽氣（方法有效但需留意萎縮）</t>
    </r>
  </si>
  <si>
    <r>
      <rPr>
        <sz val="10"/>
        <rFont val="Noto Sans CJK SC"/>
        <family val="2"/>
      </rPr>
      <t xml:space="preserve">   高但基數小 → </t>
    </r>
    <r>
      <rPr>
        <sz val="10"/>
        <rFont val="Arial"/>
        <family val="0"/>
        <charset val="1"/>
      </rPr>
      <t xml:space="preserve">2025H1&lt;5</t>
    </r>
    <r>
      <rPr>
        <sz val="10"/>
        <rFont val="Noto Sans CJK SC"/>
        <family val="2"/>
      </rPr>
      <t xml:space="preserve">：安全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，一兩件就翻盤</t>
    </r>
  </si>
  <si>
    <r>
      <rPr>
        <sz val="10"/>
        <rFont val="Noto Sans CJK SC"/>
        <family val="2"/>
      </rPr>
      <t xml:space="preserve">   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基數小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線性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2025H1</t>
    </r>
    <r>
      <rPr>
        <sz val="10"/>
        <rFont val="Noto Sans CJK SC"/>
        <family val="2"/>
      </rPr>
      <t xml:space="preserve">：二次配、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自動化、環保、其他</t>
    </r>
  </si>
  <si>
    <r>
      <rPr>
        <sz val="10"/>
        <rFont val="Noto Sans CJK SC"/>
        <family val="2"/>
      </rPr>
      <t xml:space="preserve">   已停用 → </t>
    </r>
    <r>
      <rPr>
        <sz val="10"/>
        <rFont val="Arial"/>
        <family val="0"/>
        <charset val="1"/>
      </rPr>
      <t xml:space="preserve">G=0</t>
    </r>
    <r>
      <rPr>
        <sz val="10"/>
        <rFont val="Noto Sans CJK SC"/>
        <family val="2"/>
      </rPr>
      <t xml:space="preserve">：廢水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新建</t>
    </r>
  </si>
  <si>
    <t xml:space="preserve">■ 資料坑（建議確認）</t>
  </si>
  <si>
    <r>
      <rPr>
        <sz val="10"/>
        <rFont val="Arial"/>
        <family val="0"/>
        <charset val="1"/>
      </rPr>
      <t xml:space="preserve">   1. </t>
    </r>
    <r>
      <rPr>
        <sz val="10"/>
        <rFont val="Noto Sans CJK SC"/>
        <family val="2"/>
      </rPr>
      <t xml:space="preserve">消防 </t>
    </r>
    <r>
      <rPr>
        <sz val="10"/>
        <rFont val="Arial"/>
        <family val="0"/>
        <charset val="1"/>
      </rPr>
      <t xml:space="preserve">2024H1</t>
    </r>
    <r>
      <rPr>
        <sz val="10"/>
        <rFont val="Noto Sans CJK SC"/>
        <family val="2"/>
      </rPr>
      <t xml:space="preserve">「—」：用近年係數</t>
    </r>
    <r>
      <rPr>
        <sz val="10"/>
        <rFont val="Arial"/>
        <family val="0"/>
        <charset val="1"/>
      </rPr>
      <t xml:space="preserve">(C/E)</t>
    </r>
    <r>
      <rPr>
        <sz val="10"/>
        <rFont val="Noto Sans CJK SC"/>
        <family val="2"/>
      </rPr>
      <t xml:space="preserve">已繞過，不受影響。</t>
    </r>
  </si>
  <si>
    <r>
      <rPr>
        <sz val="10"/>
        <rFont val="Arial"/>
        <family val="0"/>
        <charset val="1"/>
      </rPr>
      <t xml:space="preserve">   2. 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8/5 </t>
    </r>
    <r>
      <rPr>
        <sz val="10"/>
        <rFont val="Noto Sans CJK SC"/>
        <family val="2"/>
      </rPr>
      <t xml:space="preserve">可能有登錄延遲，最近幾週案子未進系統 → 全體推估偏低。</t>
    </r>
  </si>
  <si>
    <r>
      <rPr>
        <sz val="10"/>
        <rFont val="Arial"/>
        <family val="0"/>
        <charset val="1"/>
      </rPr>
      <t xml:space="preserve">   3. </t>
    </r>
    <r>
      <rPr>
        <sz val="10"/>
        <rFont val="Noto Sans CJK SC"/>
        <family val="2"/>
      </rPr>
      <t xml:space="preserve">金額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件數脫鉤：</t>
    </r>
    <r>
      <rPr>
        <sz val="10"/>
        <rFont val="Arial"/>
        <family val="0"/>
        <charset val="1"/>
      </rPr>
      <t xml:space="preserve">Relayout </t>
    </r>
    <r>
      <rPr>
        <sz val="10"/>
        <rFont val="Noto Sans CJK SC"/>
        <family val="2"/>
      </rPr>
      <t xml:space="preserve">件數</t>
    </r>
    <r>
      <rPr>
        <sz val="10"/>
        <rFont val="Arial"/>
        <family val="0"/>
        <charset val="1"/>
      </rPr>
      <t xml:space="preserve">+3% </t>
    </r>
    <r>
      <rPr>
        <sz val="10"/>
        <rFont val="Noto Sans CJK SC"/>
        <family val="2"/>
      </rPr>
      <t xml:space="preserve">但金額</t>
    </r>
    <r>
      <rPr>
        <sz val="10"/>
        <rFont val="Arial"/>
        <family val="0"/>
        <charset val="1"/>
      </rPr>
      <t xml:space="preserve">+99%</t>
    </r>
    <r>
      <rPr>
        <sz val="10"/>
        <rFont val="Noto Sans CJK SC"/>
        <family val="2"/>
      </rPr>
      <t xml:space="preserve">（單件</t>
    </r>
    <r>
      <rPr>
        <sz val="10"/>
        <rFont val="Arial"/>
        <family val="0"/>
        <charset val="1"/>
      </rPr>
      <t xml:space="preserve">$</t>
    </r>
    <r>
      <rPr>
        <sz val="10"/>
        <rFont val="Noto Sans CJK SC"/>
        <family val="2"/>
      </rPr>
      <t xml:space="preserve">翻倍）；消防件數</t>
    </r>
    <r>
      <rPr>
        <sz val="10"/>
        <rFont val="Arial"/>
        <family val="0"/>
        <charset val="1"/>
      </rPr>
      <t xml:space="preserve">+82% </t>
    </r>
    <r>
      <rPr>
        <sz val="10"/>
        <rFont val="Noto Sans CJK SC"/>
        <family val="2"/>
      </rPr>
      <t xml:space="preserve">金額</t>
    </r>
    <r>
      <rPr>
        <sz val="10"/>
        <rFont val="Arial"/>
        <family val="0"/>
        <charset val="1"/>
      </rPr>
      <t xml:space="preserve">-37%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</si>
  <si>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   4. </t>
    </r>
    <r>
      <rPr>
        <sz val="10"/>
        <rFont val="Noto Sans CJK SC"/>
        <family val="2"/>
      </rPr>
      <t xml:space="preserve">名稱對應：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的「</t>
    </r>
    <r>
      <rPr>
        <sz val="10"/>
        <rFont val="Arial"/>
        <family val="0"/>
        <charset val="1"/>
      </rPr>
      <t xml:space="preserve">Others 2024(2</t>
    </r>
    <r>
      <rPr>
        <sz val="10"/>
        <rFont val="Noto Sans CJK SC"/>
        <family val="2"/>
      </rPr>
      <t xml:space="preserve">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」「新建 </t>
    </r>
    <r>
      <rPr>
        <sz val="10"/>
        <rFont val="Arial"/>
        <family val="0"/>
        <charset val="1"/>
      </rPr>
      <t xml:space="preserve">2024(2</t>
    </r>
    <r>
      <rPr>
        <sz val="10"/>
        <rFont val="Noto Sans CJK SC"/>
        <family val="2"/>
      </rPr>
      <t xml:space="preserve">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」與全年表 其他</t>
    </r>
    <r>
      <rPr>
        <sz val="10"/>
        <rFont val="Arial"/>
        <family val="0"/>
        <charset val="1"/>
      </rPr>
      <t xml:space="preserve">=0 / </t>
    </r>
    <r>
      <rPr>
        <sz val="10"/>
        <rFont val="Noto Sans CJK SC"/>
        <family val="2"/>
      </rPr>
      <t xml:space="preserve">廢水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新建 不一致，</t>
    </r>
  </si>
  <si>
    <t xml:space="preserve">      因屬極小或已停用類別，未強行併入，保留全年表結構。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</si>
</sst>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General"/>
    <numFmt numFmtId="168" formatCode="\$#,##0"/>
    <numFmt numFmtId="169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Consolas"/>
      <family val="0"/>
      <charset val="1"/>
    </font>
    <font>
      <b val="true"/>
      <sz val="11"/>
      <color rgb="FF2F5496"/>
      <name val="Noto Sans CJK SC"/>
      <family val="2"/>
    </font>
    <font>
      <b val="true"/>
      <sz val="11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6" min="4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3" t="s">
        <v>2</v>
      </c>
      <c r="C2" s="4" t="n">
        <v>217</v>
      </c>
      <c r="D2" s="3" t="s">
        <v>3</v>
      </c>
      <c r="E2" s="4" t="n">
        <v>365</v>
      </c>
      <c r="F2" s="5" t="s">
        <v>4</v>
      </c>
    </row>
    <row r="4" customFormat="false" ht="30" hidden="false" customHeight="true" outlineLevel="0" collapsed="false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</row>
    <row r="5" customFormat="false" ht="15" hidden="false" customHeight="false" outlineLevel="0" collapsed="false">
      <c r="A5" s="2" t="s">
        <v>20</v>
      </c>
      <c r="B5" s="8" t="n">
        <v>47</v>
      </c>
      <c r="C5" s="8" t="n">
        <v>58</v>
      </c>
      <c r="D5" s="8" t="n">
        <v>28</v>
      </c>
      <c r="E5" s="8" t="n">
        <v>41</v>
      </c>
      <c r="F5" s="8" t="n">
        <v>44</v>
      </c>
      <c r="G5" s="8" t="n">
        <v>52</v>
      </c>
      <c r="H5" s="9" t="n">
        <f aca="false">IF(OR(E5="",F5=""),"",F5/E5-1)</f>
        <v>0.0731707317073171</v>
      </c>
      <c r="I5" s="10" t="n">
        <f aca="false">IF(E5="","",C5/E5)</f>
        <v>1.41463414634146</v>
      </c>
      <c r="J5" s="11" t="n">
        <f aca="false">IF(E5="","",MAX(ROUND(F5*C5/E5,0),G5))</f>
        <v>62</v>
      </c>
      <c r="K5" s="11" t="n">
        <f aca="false">IF(E5="","",MAX(ROUND(F5+(C5-E5)*(F5/E5),0),G5))</f>
        <v>62</v>
      </c>
      <c r="L5" s="11" t="n">
        <f aca="false">ROUND(G5/$C$2*$E$2,0)</f>
        <v>87</v>
      </c>
      <c r="M5" s="12" t="n">
        <f aca="false">IF(E5="",L5,J5)</f>
        <v>62</v>
      </c>
      <c r="N5" s="12" t="n">
        <f aca="false">MAX(M5-G5,0)</f>
        <v>10</v>
      </c>
      <c r="O5" s="13" t="str">
        <f aca="false">IF(G5=0,"已停用",IF(E5="","低·基數小(線性)",IF(E5&lt;5,"高但基數小·易波動",IF(F5/E5&lt;0.7,"有H1·大幅下降·留意","高·雙法收斂"))))</f>
        <v>高·雙法收斂</v>
      </c>
    </row>
    <row r="6" customFormat="false" ht="15" hidden="false" customHeight="false" outlineLevel="0" collapsed="false">
      <c r="A6" s="14" t="s">
        <v>21</v>
      </c>
      <c r="B6" s="8" t="n">
        <v>38</v>
      </c>
      <c r="C6" s="8" t="n">
        <v>57</v>
      </c>
      <c r="D6" s="8" t="n">
        <v>7</v>
      </c>
      <c r="E6" s="8" t="n">
        <v>36</v>
      </c>
      <c r="F6" s="8" t="n">
        <v>37</v>
      </c>
      <c r="G6" s="8" t="n">
        <v>43</v>
      </c>
      <c r="H6" s="15" t="n">
        <f aca="false">IF(OR(E6="",F6=""),"",F6/E6-1)</f>
        <v>0.0277777777777777</v>
      </c>
      <c r="I6" s="16" t="n">
        <f aca="false">IF(E6="","",C6/E6)</f>
        <v>1.58333333333333</v>
      </c>
      <c r="J6" s="17" t="n">
        <f aca="false">IF(E6="","",MAX(ROUND(F6*C6/E6,0),G6))</f>
        <v>59</v>
      </c>
      <c r="K6" s="17" t="n">
        <f aca="false">IF(E6="","",MAX(ROUND(F6+(C6-E6)*(F6/E6),0),G6))</f>
        <v>59</v>
      </c>
      <c r="L6" s="17" t="n">
        <f aca="false">ROUND(G6/$C$2*$E$2,0)</f>
        <v>72</v>
      </c>
      <c r="M6" s="18" t="n">
        <f aca="false">IF(E6="",L6,J6)</f>
        <v>59</v>
      </c>
      <c r="N6" s="18" t="n">
        <f aca="false">MAX(M6-G6,0)</f>
        <v>16</v>
      </c>
      <c r="O6" s="19" t="str">
        <f aca="false">IF(G6=0,"已停用",IF(E6="","低·基數小(線性)",IF(E6&lt;5,"高但基數小·易波動",IF(F6/E6&lt;0.7,"有H1·大幅下降·留意","高·雙法收斂"))))</f>
        <v>高·雙法收斂</v>
      </c>
    </row>
    <row r="7" customFormat="false" ht="15" hidden="false" customHeight="false" outlineLevel="0" collapsed="false">
      <c r="A7" s="2" t="s">
        <v>22</v>
      </c>
      <c r="B7" s="8" t="n">
        <v>5</v>
      </c>
      <c r="C7" s="8" t="n">
        <v>17</v>
      </c>
      <c r="D7" s="8" t="n">
        <v>2</v>
      </c>
      <c r="E7" s="8" t="n">
        <v>10</v>
      </c>
      <c r="F7" s="8" t="n">
        <v>19</v>
      </c>
      <c r="G7" s="8" t="n">
        <v>22</v>
      </c>
      <c r="H7" s="9" t="n">
        <f aca="false">IF(OR(E7="",F7=""),"",F7/E7-1)</f>
        <v>0.9</v>
      </c>
      <c r="I7" s="10" t="n">
        <f aca="false">IF(E7="","",C7/E7)</f>
        <v>1.7</v>
      </c>
      <c r="J7" s="11" t="n">
        <f aca="false">IF(E7="","",MAX(ROUND(F7*C7/E7,0),G7))</f>
        <v>32</v>
      </c>
      <c r="K7" s="11" t="n">
        <f aca="false">IF(E7="","",MAX(ROUND(F7+(C7-E7)*(F7/E7),0),G7))</f>
        <v>32</v>
      </c>
      <c r="L7" s="11" t="n">
        <f aca="false">ROUND(G7/$C$2*$E$2,0)</f>
        <v>37</v>
      </c>
      <c r="M7" s="12" t="n">
        <f aca="false">IF(E7="",L7,J7)</f>
        <v>32</v>
      </c>
      <c r="N7" s="12" t="n">
        <f aca="false">MAX(M7-G7,0)</f>
        <v>10</v>
      </c>
      <c r="O7" s="13" t="str">
        <f aca="false">IF(G7=0,"已停用",IF(E7="","低·基數小(線性)",IF(E7&lt;5,"高但基數小·易波動",IF(F7/E7&lt;0.7,"有H1·大幅下降·留意","高·雙法收斂"))))</f>
        <v>高·雙法收斂</v>
      </c>
    </row>
    <row r="8" customFormat="false" ht="15" hidden="false" customHeight="false" outlineLevel="0" collapsed="false">
      <c r="A8" s="20" t="s">
        <v>23</v>
      </c>
      <c r="B8" s="8" t="n">
        <v>6</v>
      </c>
      <c r="C8" s="8" t="n">
        <v>21</v>
      </c>
      <c r="D8" s="8"/>
      <c r="E8" s="8" t="n">
        <v>11</v>
      </c>
      <c r="F8" s="8" t="n">
        <v>20</v>
      </c>
      <c r="G8" s="8" t="n">
        <v>21</v>
      </c>
      <c r="H8" s="15" t="n">
        <f aca="false">IF(OR(E8="",F8=""),"",F8/E8-1)</f>
        <v>0.818181818181818</v>
      </c>
      <c r="I8" s="16" t="n">
        <f aca="false">IF(E8="","",C8/E8)</f>
        <v>1.90909090909091</v>
      </c>
      <c r="J8" s="17" t="n">
        <f aca="false">IF(E8="","",MAX(ROUND(F8*C8/E8,0),G8))</f>
        <v>38</v>
      </c>
      <c r="K8" s="17" t="n">
        <f aca="false">IF(E8="","",MAX(ROUND(F8+(C8-E8)*(F8/E8),0),G8))</f>
        <v>38</v>
      </c>
      <c r="L8" s="17" t="n">
        <f aca="false">ROUND(G8/$C$2*$E$2,0)</f>
        <v>35</v>
      </c>
      <c r="M8" s="18" t="n">
        <f aca="false">IF(E8="",L8,J8)</f>
        <v>38</v>
      </c>
      <c r="N8" s="18" t="n">
        <f aca="false">MAX(M8-G8,0)</f>
        <v>17</v>
      </c>
      <c r="O8" s="19" t="str">
        <f aca="false">IF(G8=0,"已停用",IF(E8="","低·基數小(線性)",IF(E8&lt;5,"高但基數小·易波動",IF(F8/E8&lt;0.7,"有H1·大幅下降·留意","高·雙法收斂"))))</f>
        <v>高·雙法收斂</v>
      </c>
    </row>
    <row r="9" customFormat="false" ht="15" hidden="false" customHeight="false" outlineLevel="0" collapsed="false">
      <c r="A9" s="2" t="s">
        <v>24</v>
      </c>
      <c r="B9" s="8" t="n">
        <v>64</v>
      </c>
      <c r="C9" s="8" t="n">
        <v>49</v>
      </c>
      <c r="D9" s="8" t="n">
        <v>48</v>
      </c>
      <c r="E9" s="8" t="n">
        <v>30</v>
      </c>
      <c r="F9" s="8" t="n">
        <v>17</v>
      </c>
      <c r="G9" s="8" t="n">
        <v>20</v>
      </c>
      <c r="H9" s="9" t="n">
        <f aca="false">IF(OR(E9="",F9=""),"",F9/E9-1)</f>
        <v>-0.433333333333333</v>
      </c>
      <c r="I9" s="10" t="n">
        <f aca="false">IF(E9="","",C9/E9)</f>
        <v>1.63333333333333</v>
      </c>
      <c r="J9" s="11" t="n">
        <f aca="false">IF(E9="","",MAX(ROUND(F9*C9/E9,0),G9))</f>
        <v>28</v>
      </c>
      <c r="K9" s="11" t="n">
        <f aca="false">IF(E9="","",MAX(ROUND(F9+(C9-E9)*(F9/E9),0),G9))</f>
        <v>28</v>
      </c>
      <c r="L9" s="11" t="n">
        <f aca="false">ROUND(G9/$C$2*$E$2,0)</f>
        <v>34</v>
      </c>
      <c r="M9" s="12" t="n">
        <f aca="false">IF(E9="",L9,J9)</f>
        <v>28</v>
      </c>
      <c r="N9" s="12" t="n">
        <f aca="false">MAX(M9-G9,0)</f>
        <v>8</v>
      </c>
      <c r="O9" s="13" t="str">
        <f aca="false">IF(G9=0,"已停用",IF(E9="","低·基數小(線性)",IF(E9&lt;5,"高但基數小·易波動",IF(F9/E9&lt;0.7,"有H1·大幅下降·留意","高·雙法收斂"))))</f>
        <v>有H1·大幅下降·留意</v>
      </c>
    </row>
    <row r="10" customFormat="false" ht="15" hidden="false" customHeight="false" outlineLevel="0" collapsed="false">
      <c r="A10" s="20" t="s">
        <v>25</v>
      </c>
      <c r="B10" s="8" t="n">
        <v>15</v>
      </c>
      <c r="C10" s="8" t="n">
        <v>11</v>
      </c>
      <c r="D10" s="8" t="n">
        <v>5</v>
      </c>
      <c r="E10" s="8" t="n">
        <v>3</v>
      </c>
      <c r="F10" s="8" t="n">
        <v>13</v>
      </c>
      <c r="G10" s="8" t="n">
        <v>15</v>
      </c>
      <c r="H10" s="15" t="n">
        <f aca="false">IF(OR(E10="",F10=""),"",F10/E10-1)</f>
        <v>3.33333333333333</v>
      </c>
      <c r="I10" s="16" t="n">
        <f aca="false">IF(E10="","",C10/E10)</f>
        <v>3.66666666666667</v>
      </c>
      <c r="J10" s="17" t="n">
        <f aca="false">IF(E10="","",MAX(ROUND(F10*C10/E10,0),G10))</f>
        <v>48</v>
      </c>
      <c r="K10" s="17" t="n">
        <f aca="false">IF(E10="","",MAX(ROUND(F10+(C10-E10)*(F10/E10),0),G10))</f>
        <v>48</v>
      </c>
      <c r="L10" s="17" t="n">
        <f aca="false">ROUND(G10/$C$2*$E$2,0)</f>
        <v>25</v>
      </c>
      <c r="M10" s="18" t="n">
        <f aca="false">IF(E10="",L10,J10)</f>
        <v>48</v>
      </c>
      <c r="N10" s="18" t="n">
        <f aca="false">MAX(M10-G10,0)</f>
        <v>33</v>
      </c>
      <c r="O10" s="19" t="str">
        <f aca="false">IF(G10=0,"已停用",IF(E10="","低·基數小(線性)",IF(E10&lt;5,"高但基數小·易波動",IF(F10/E10&lt;0.7,"有H1·大幅下降·留意","高·雙法收斂"))))</f>
        <v>高但基數小·易波動</v>
      </c>
    </row>
    <row r="11" customFormat="false" ht="15" hidden="false" customHeight="false" outlineLevel="0" collapsed="false">
      <c r="A11" s="2" t="s">
        <v>26</v>
      </c>
      <c r="B11" s="8" t="n">
        <v>15</v>
      </c>
      <c r="C11" s="8" t="n">
        <v>46</v>
      </c>
      <c r="D11" s="8" t="n">
        <v>12</v>
      </c>
      <c r="E11" s="8" t="n">
        <v>28</v>
      </c>
      <c r="F11" s="8" t="n">
        <v>11</v>
      </c>
      <c r="G11" s="8" t="n">
        <v>14</v>
      </c>
      <c r="H11" s="9" t="n">
        <f aca="false">IF(OR(E11="",F11=""),"",F11/E11-1)</f>
        <v>-0.607142857142857</v>
      </c>
      <c r="I11" s="10" t="n">
        <f aca="false">IF(E11="","",C11/E11)</f>
        <v>1.64285714285714</v>
      </c>
      <c r="J11" s="11" t="n">
        <f aca="false">IF(E11="","",MAX(ROUND(F11*C11/E11,0),G11))</f>
        <v>18</v>
      </c>
      <c r="K11" s="11" t="n">
        <f aca="false">IF(E11="","",MAX(ROUND(F11+(C11-E11)*(F11/E11),0),G11))</f>
        <v>18</v>
      </c>
      <c r="L11" s="11" t="n">
        <f aca="false">ROUND(G11/$C$2*$E$2,0)</f>
        <v>24</v>
      </c>
      <c r="M11" s="12" t="n">
        <f aca="false">IF(E11="",L11,J11)</f>
        <v>18</v>
      </c>
      <c r="N11" s="12" t="n">
        <f aca="false">MAX(M11-G11,0)</f>
        <v>4</v>
      </c>
      <c r="O11" s="13" t="str">
        <f aca="false">IF(G11=0,"已停用",IF(E11="","低·基數小(線性)",IF(E11&lt;5,"高但基數小·易波動",IF(F11/E11&lt;0.7,"有H1·大幅下降·留意","高·雙法收斂"))))</f>
        <v>有H1·大幅下降·留意</v>
      </c>
    </row>
    <row r="12" customFormat="false" ht="15" hidden="false" customHeight="false" outlineLevel="0" collapsed="false">
      <c r="A12" s="20" t="s">
        <v>27</v>
      </c>
      <c r="B12" s="8" t="n">
        <v>25</v>
      </c>
      <c r="C12" s="8" t="n">
        <v>19</v>
      </c>
      <c r="D12" s="8" t="n">
        <v>17</v>
      </c>
      <c r="E12" s="8" t="n">
        <v>12</v>
      </c>
      <c r="F12" s="8" t="n">
        <v>12</v>
      </c>
      <c r="G12" s="8" t="n">
        <v>13</v>
      </c>
      <c r="H12" s="15" t="n">
        <f aca="false">IF(OR(E12="",F12=""),"",F12/E12-1)</f>
        <v>0</v>
      </c>
      <c r="I12" s="16" t="n">
        <f aca="false">IF(E12="","",C12/E12)</f>
        <v>1.58333333333333</v>
      </c>
      <c r="J12" s="17" t="n">
        <f aca="false">IF(E12="","",MAX(ROUND(F12*C12/E12,0),G12))</f>
        <v>19</v>
      </c>
      <c r="K12" s="17" t="n">
        <f aca="false">IF(E12="","",MAX(ROUND(F12+(C12-E12)*(F12/E12),0),G12))</f>
        <v>19</v>
      </c>
      <c r="L12" s="17" t="n">
        <f aca="false">ROUND(G12/$C$2*$E$2,0)</f>
        <v>22</v>
      </c>
      <c r="M12" s="18" t="n">
        <f aca="false">IF(E12="",L12,J12)</f>
        <v>19</v>
      </c>
      <c r="N12" s="18" t="n">
        <f aca="false">MAX(M12-G12,0)</f>
        <v>6</v>
      </c>
      <c r="O12" s="19" t="str">
        <f aca="false">IF(G12=0,"已停用",IF(E12="","低·基數小(線性)",IF(E12&lt;5,"高但基數小·易波動",IF(F12/E12&lt;0.7,"有H1·大幅下降·留意","高·雙法收斂"))))</f>
        <v>高·雙法收斂</v>
      </c>
    </row>
    <row r="13" customFormat="false" ht="15" hidden="false" customHeight="false" outlineLevel="0" collapsed="false">
      <c r="A13" s="2" t="s">
        <v>28</v>
      </c>
      <c r="B13" s="8" t="n">
        <v>6</v>
      </c>
      <c r="C13" s="8" t="n">
        <v>33</v>
      </c>
      <c r="D13" s="8" t="n">
        <v>2</v>
      </c>
      <c r="E13" s="8" t="n">
        <v>23</v>
      </c>
      <c r="F13" s="8" t="n">
        <v>6</v>
      </c>
      <c r="G13" s="8" t="n">
        <v>10</v>
      </c>
      <c r="H13" s="9" t="n">
        <f aca="false">IF(OR(E13="",F13=""),"",F13/E13-1)</f>
        <v>-0.739130434782609</v>
      </c>
      <c r="I13" s="10" t="n">
        <f aca="false">IF(E13="","",C13/E13)</f>
        <v>1.43478260869565</v>
      </c>
      <c r="J13" s="11" t="n">
        <f aca="false">IF(E13="","",MAX(ROUND(F13*C13/E13,0),G13))</f>
        <v>10</v>
      </c>
      <c r="K13" s="11" t="n">
        <f aca="false">IF(E13="","",MAX(ROUND(F13+(C13-E13)*(F13/E13),0),G13))</f>
        <v>10</v>
      </c>
      <c r="L13" s="11" t="n">
        <f aca="false">ROUND(G13/$C$2*$E$2,0)</f>
        <v>17</v>
      </c>
      <c r="M13" s="12" t="n">
        <f aca="false">IF(E13="",L13,J13)</f>
        <v>10</v>
      </c>
      <c r="N13" s="12" t="n">
        <f aca="false">MAX(M13-G13,0)</f>
        <v>0</v>
      </c>
      <c r="O13" s="13" t="str">
        <f aca="false">IF(G13=0,"已停用",IF(E13="","低·基數小(線性)",IF(E13&lt;5,"高但基數小·易波動",IF(F13/E13&lt;0.7,"有H1·大幅下降·留意","高·雙法收斂"))))</f>
        <v>有H1·大幅下降·留意</v>
      </c>
    </row>
    <row r="14" customFormat="false" ht="15" hidden="false" customHeight="false" outlineLevel="0" collapsed="false">
      <c r="A14" s="20" t="s">
        <v>29</v>
      </c>
      <c r="B14" s="8" t="n">
        <v>0</v>
      </c>
      <c r="C14" s="8" t="n">
        <v>3</v>
      </c>
      <c r="D14" s="8"/>
      <c r="E14" s="8"/>
      <c r="F14" s="8" t="n">
        <v>5</v>
      </c>
      <c r="G14" s="8" t="n">
        <v>9</v>
      </c>
      <c r="H14" s="15" t="str">
        <f aca="false">IF(OR(E14="",F14=""),"",F14/E14-1)</f>
        <v/>
      </c>
      <c r="I14" s="16" t="str">
        <f aca="false">IF(E14="","",C14/E14)</f>
        <v/>
      </c>
      <c r="J14" s="17" t="str">
        <f aca="false">IF(E14="","",MAX(ROUND(F14*C14/E14,0),G14))</f>
        <v/>
      </c>
      <c r="K14" s="17" t="str">
        <f aca="false">IF(E14="","",MAX(ROUND(F14+(C14-E14)*(F14/E14),0),G14))</f>
        <v/>
      </c>
      <c r="L14" s="17" t="n">
        <f aca="false">ROUND(G14/$C$2*$E$2,0)</f>
        <v>15</v>
      </c>
      <c r="M14" s="18" t="n">
        <f aca="false">IF(E14="",L14,J14)</f>
        <v>15</v>
      </c>
      <c r="N14" s="18" t="n">
        <f aca="false">MAX(M14-G14,0)</f>
        <v>6</v>
      </c>
      <c r="O14" s="19" t="str">
        <f aca="false">IF(G14=0,"已停用",IF(E14="","低·基數小(線性)",IF(E14&lt;5,"高但基數小·易波動",IF(F14/E14&lt;0.7,"有H1·大幅下降·留意","高·雙法收斂"))))</f>
        <v>低·基數小(線性)</v>
      </c>
    </row>
    <row r="15" customFormat="false" ht="15" hidden="false" customHeight="false" outlineLevel="0" collapsed="false">
      <c r="A15" s="2" t="s">
        <v>30</v>
      </c>
      <c r="B15" s="8" t="n">
        <v>12</v>
      </c>
      <c r="C15" s="8" t="n">
        <v>34</v>
      </c>
      <c r="D15" s="8" t="n">
        <v>7</v>
      </c>
      <c r="E15" s="8" t="n">
        <v>18</v>
      </c>
      <c r="F15" s="8" t="n">
        <v>2</v>
      </c>
      <c r="G15" s="8" t="n">
        <v>5</v>
      </c>
      <c r="H15" s="9" t="n">
        <f aca="false">IF(OR(E15="",F15=""),"",F15/E15-1)</f>
        <v>-0.888888888888889</v>
      </c>
      <c r="I15" s="10" t="n">
        <f aca="false">IF(E15="","",C15/E15)</f>
        <v>1.88888888888889</v>
      </c>
      <c r="J15" s="11" t="n">
        <f aca="false">IF(E15="","",MAX(ROUND(F15*C15/E15,0),G15))</f>
        <v>5</v>
      </c>
      <c r="K15" s="11" t="n">
        <f aca="false">IF(E15="","",MAX(ROUND(F15+(C15-E15)*(F15/E15),0),G15))</f>
        <v>5</v>
      </c>
      <c r="L15" s="11" t="n">
        <f aca="false">ROUND(G15/$C$2*$E$2,0)</f>
        <v>8</v>
      </c>
      <c r="M15" s="12" t="n">
        <f aca="false">IF(E15="",L15,J15)</f>
        <v>5</v>
      </c>
      <c r="N15" s="12" t="n">
        <f aca="false">MAX(M15-G15,0)</f>
        <v>0</v>
      </c>
      <c r="O15" s="13" t="str">
        <f aca="false">IF(G15=0,"已停用",IF(E15="","低·基數小(線性)",IF(E15&lt;5,"高但基數小·易波動",IF(F15/E15&lt;0.7,"有H1·大幅下降·留意","高·雙法收斂"))))</f>
        <v>有H1·大幅下降·留意</v>
      </c>
    </row>
    <row r="16" customFormat="false" ht="15" hidden="false" customHeight="false" outlineLevel="0" collapsed="false">
      <c r="A16" s="14" t="s">
        <v>31</v>
      </c>
      <c r="B16" s="8" t="n">
        <v>0</v>
      </c>
      <c r="C16" s="8" t="n">
        <v>0</v>
      </c>
      <c r="D16" s="8"/>
      <c r="E16" s="8"/>
      <c r="F16" s="8" t="n">
        <v>2</v>
      </c>
      <c r="G16" s="8" t="n">
        <v>4</v>
      </c>
      <c r="H16" s="15" t="str">
        <f aca="false">IF(OR(E16="",F16=""),"",F16/E16-1)</f>
        <v/>
      </c>
      <c r="I16" s="16" t="str">
        <f aca="false">IF(E16="","",C16/E16)</f>
        <v/>
      </c>
      <c r="J16" s="17" t="str">
        <f aca="false">IF(E16="","",MAX(ROUND(F16*C16/E16,0),G16))</f>
        <v/>
      </c>
      <c r="K16" s="17" t="str">
        <f aca="false">IF(E16="","",MAX(ROUND(F16+(C16-E16)*(F16/E16),0),G16))</f>
        <v/>
      </c>
      <c r="L16" s="17" t="n">
        <f aca="false">ROUND(G16/$C$2*$E$2,0)</f>
        <v>7</v>
      </c>
      <c r="M16" s="18" t="n">
        <f aca="false">IF(E16="",L16,J16)</f>
        <v>7</v>
      </c>
      <c r="N16" s="18" t="n">
        <f aca="false">MAX(M16-G16,0)</f>
        <v>3</v>
      </c>
      <c r="O16" s="19" t="str">
        <f aca="false">IF(G16=0,"已停用",IF(E16="","低·基數小(線性)",IF(E16&lt;5,"高但基數小·易波動",IF(F16/E16&lt;0.7,"有H1·大幅下降·留意","高·雙法收斂"))))</f>
        <v>低·基數小(線性)</v>
      </c>
    </row>
    <row r="17" customFormat="false" ht="15" hidden="false" customHeight="false" outlineLevel="0" collapsed="false">
      <c r="A17" s="2" t="s">
        <v>32</v>
      </c>
      <c r="B17" s="8" t="n">
        <v>2</v>
      </c>
      <c r="C17" s="8" t="n">
        <v>0</v>
      </c>
      <c r="D17" s="8" t="n">
        <v>1</v>
      </c>
      <c r="E17" s="8"/>
      <c r="F17" s="8" t="n">
        <v>1</v>
      </c>
      <c r="G17" s="8" t="n">
        <v>2</v>
      </c>
      <c r="H17" s="9" t="str">
        <f aca="false">IF(OR(E17="",F17=""),"",F17/E17-1)</f>
        <v/>
      </c>
      <c r="I17" s="10" t="str">
        <f aca="false">IF(E17="","",C17/E17)</f>
        <v/>
      </c>
      <c r="J17" s="11" t="str">
        <f aca="false">IF(E17="","",MAX(ROUND(F17*C17/E17,0),G17))</f>
        <v/>
      </c>
      <c r="K17" s="11" t="str">
        <f aca="false">IF(E17="","",MAX(ROUND(F17+(C17-E17)*(F17/E17),0),G17))</f>
        <v/>
      </c>
      <c r="L17" s="11" t="n">
        <f aca="false">ROUND(G17/$C$2*$E$2,0)</f>
        <v>3</v>
      </c>
      <c r="M17" s="12" t="n">
        <f aca="false">IF(E17="",L17,J17)</f>
        <v>3</v>
      </c>
      <c r="N17" s="12" t="n">
        <f aca="false">MAX(M17-G17,0)</f>
        <v>1</v>
      </c>
      <c r="O17" s="13" t="str">
        <f aca="false">IF(G17=0,"已停用",IF(E17="","低·基數小(線性)",IF(E17&lt;5,"高但基數小·易波動",IF(F17/E17&lt;0.7,"有H1·大幅下降·留意","高·雙法收斂"))))</f>
        <v>低·基數小(線性)</v>
      </c>
    </row>
    <row r="18" customFormat="false" ht="15" hidden="false" customHeight="false" outlineLevel="0" collapsed="false">
      <c r="A18" s="20" t="s">
        <v>33</v>
      </c>
      <c r="B18" s="8" t="n">
        <v>0</v>
      </c>
      <c r="C18" s="8" t="n">
        <v>0</v>
      </c>
      <c r="D18" s="8"/>
      <c r="E18" s="8"/>
      <c r="F18" s="8" t="n">
        <v>1</v>
      </c>
      <c r="G18" s="8" t="n">
        <v>1</v>
      </c>
      <c r="H18" s="15" t="str">
        <f aca="false">IF(OR(E18="",F18=""),"",F18/E18-1)</f>
        <v/>
      </c>
      <c r="I18" s="16" t="str">
        <f aca="false">IF(E18="","",C18/E18)</f>
        <v/>
      </c>
      <c r="J18" s="17" t="str">
        <f aca="false">IF(E18="","",MAX(ROUND(F18*C18/E18,0),G18))</f>
        <v/>
      </c>
      <c r="K18" s="17" t="str">
        <f aca="false">IF(E18="","",MAX(ROUND(F18+(C18-E18)*(F18/E18),0),G18))</f>
        <v/>
      </c>
      <c r="L18" s="17" t="n">
        <f aca="false">ROUND(G18/$C$2*$E$2,0)</f>
        <v>2</v>
      </c>
      <c r="M18" s="18" t="n">
        <f aca="false">IF(E18="",L18,J18)</f>
        <v>2</v>
      </c>
      <c r="N18" s="18" t="n">
        <f aca="false">MAX(M18-G18,0)</f>
        <v>1</v>
      </c>
      <c r="O18" s="19" t="str">
        <f aca="false">IF(G18=0,"已停用",IF(E18="","低·基數小(線性)",IF(E18&lt;5,"高但基數小·易波動",IF(F18/E18&lt;0.7,"有H1·大幅下降·留意","高·雙法收斂"))))</f>
        <v>低·基數小(線性)</v>
      </c>
    </row>
    <row r="19" customFormat="false" ht="15" hidden="false" customHeight="false" outlineLevel="0" collapsed="false">
      <c r="A19" s="2" t="s">
        <v>34</v>
      </c>
      <c r="B19" s="8" t="n">
        <v>8</v>
      </c>
      <c r="C19" s="8" t="n">
        <v>0</v>
      </c>
      <c r="D19" s="8"/>
      <c r="E19" s="8"/>
      <c r="F19" s="8"/>
      <c r="G19" s="8" t="n">
        <v>0</v>
      </c>
      <c r="H19" s="9" t="str">
        <f aca="false">IF(OR(E19="",F19=""),"",F19/E19-1)</f>
        <v/>
      </c>
      <c r="I19" s="10" t="str">
        <f aca="false">IF(E19="","",C19/E19)</f>
        <v/>
      </c>
      <c r="J19" s="11" t="str">
        <f aca="false">IF(E19="","",MAX(ROUND(F19*C19/E19,0),G19))</f>
        <v/>
      </c>
      <c r="K19" s="11" t="str">
        <f aca="false">IF(E19="","",MAX(ROUND(F19+(C19-E19)*(F19/E19),0),G19))</f>
        <v/>
      </c>
      <c r="L19" s="11" t="n">
        <f aca="false">ROUND(G19/$C$2*$E$2,0)</f>
        <v>0</v>
      </c>
      <c r="M19" s="12" t="n">
        <f aca="false">IF(E19="",L19,J19)</f>
        <v>0</v>
      </c>
      <c r="N19" s="12" t="n">
        <f aca="false">MAX(M19-G19,0)</f>
        <v>0</v>
      </c>
      <c r="O19" s="13" t="str">
        <f aca="false">IF(G19=0,"已停用",IF(E19="","低·基數小(線性)",IF(E19&lt;5,"高但基數小·易波動",IF(F19/E19&lt;0.7,"有H1·大幅下降·留意","高·雙法收斂"))))</f>
        <v>已停用</v>
      </c>
    </row>
    <row r="20" customFormat="false" ht="15" hidden="false" customHeight="false" outlineLevel="0" collapsed="false">
      <c r="A20" s="21" t="s">
        <v>35</v>
      </c>
      <c r="B20" s="22" t="n">
        <f aca="false">SUM(B5:B19)</f>
        <v>243</v>
      </c>
      <c r="C20" s="22" t="n">
        <f aca="false">SUM(C5:C19)</f>
        <v>348</v>
      </c>
      <c r="D20" s="22" t="n">
        <f aca="false">SUM(D5:D19)</f>
        <v>129</v>
      </c>
      <c r="E20" s="22" t="n">
        <f aca="false">SUM(E5:E19)</f>
        <v>212</v>
      </c>
      <c r="F20" s="22" t="n">
        <f aca="false">SUM(F5:F19)</f>
        <v>190</v>
      </c>
      <c r="G20" s="22" t="n">
        <f aca="false">SUM(G5:G19)</f>
        <v>231</v>
      </c>
      <c r="H20" s="23"/>
      <c r="I20" s="23"/>
      <c r="J20" s="23"/>
      <c r="K20" s="23"/>
      <c r="L20" s="23"/>
      <c r="M20" s="22" t="n">
        <f aca="false">SUM(M5:M19)</f>
        <v>346</v>
      </c>
      <c r="N20" s="22" t="n">
        <f aca="false">SUM(N5:N19)</f>
        <v>115</v>
      </c>
      <c r="O20" s="23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7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5" t="s">
        <v>37</v>
      </c>
    </row>
    <row r="4" customFormat="false" ht="30" hidden="false" customHeight="true" outlineLevel="0" collapsed="false">
      <c r="A4" s="6" t="s">
        <v>5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6" t="s">
        <v>43</v>
      </c>
      <c r="H4" s="7" t="s">
        <v>44</v>
      </c>
    </row>
    <row r="5" customFormat="false" ht="15" hidden="false" customHeight="false" outlineLevel="0" collapsed="false">
      <c r="A5" s="2" t="s">
        <v>20</v>
      </c>
      <c r="B5" s="24" t="n">
        <v>142727354</v>
      </c>
      <c r="C5" s="24" t="n">
        <v>197178001</v>
      </c>
      <c r="D5" s="24" t="n">
        <v>337607202</v>
      </c>
      <c r="E5" s="9" t="n">
        <f aca="false">IF(OR(C5="",D5=""),"",D5/C5-1)</f>
        <v>0.712195073932208</v>
      </c>
      <c r="F5" s="25" t="n">
        <f aca="false">IF(D5="","",D5/件數預估!F5)</f>
        <v>7672890.95454545</v>
      </c>
      <c r="G5" s="11" t="n">
        <f aca="false">件數預估!M5</f>
        <v>62</v>
      </c>
      <c r="H5" s="26" t="n">
        <f aca="false">IF(D5="","",ROUND(F5*G5,0))</f>
        <v>475719239</v>
      </c>
    </row>
    <row r="6" customFormat="false" ht="15" hidden="false" customHeight="false" outlineLevel="0" collapsed="false">
      <c r="A6" s="14" t="s">
        <v>21</v>
      </c>
      <c r="B6" s="24" t="n">
        <v>132262083</v>
      </c>
      <c r="C6" s="24" t="n">
        <v>324601620</v>
      </c>
      <c r="D6" s="24" t="n">
        <v>645130932</v>
      </c>
      <c r="E6" s="15" t="n">
        <f aca="false">IF(OR(C6="",D6=""),"",D6/C6-1)</f>
        <v>0.987454443388175</v>
      </c>
      <c r="F6" s="27" t="n">
        <f aca="false">IF(D6="","",D6/件數預估!F6)</f>
        <v>17435971.1351351</v>
      </c>
      <c r="G6" s="17" t="n">
        <f aca="false">件數預估!M6</f>
        <v>59</v>
      </c>
      <c r="H6" s="28" t="n">
        <f aca="false">IF(D6="","",ROUND(F6*G6,0))</f>
        <v>1028722297</v>
      </c>
    </row>
    <row r="7" customFormat="false" ht="15" hidden="false" customHeight="false" outlineLevel="0" collapsed="false">
      <c r="A7" s="2" t="s">
        <v>22</v>
      </c>
      <c r="B7" s="24" t="n">
        <v>44984830</v>
      </c>
      <c r="C7" s="24" t="n">
        <v>33508750</v>
      </c>
      <c r="D7" s="24" t="n">
        <v>45214652</v>
      </c>
      <c r="E7" s="9" t="n">
        <f aca="false">IF(OR(C7="",D7=""),"",D7/C7-1)</f>
        <v>0.349338665273996</v>
      </c>
      <c r="F7" s="25" t="n">
        <f aca="false">IF(D7="","",D7/件數預估!F7)</f>
        <v>2379718.52631579</v>
      </c>
      <c r="G7" s="11" t="n">
        <f aca="false">件數預估!M7</f>
        <v>32</v>
      </c>
      <c r="H7" s="26" t="n">
        <f aca="false">IF(D7="","",ROUND(F7*G7,0))</f>
        <v>76150993</v>
      </c>
    </row>
    <row r="8" customFormat="false" ht="15" hidden="false" customHeight="false" outlineLevel="0" collapsed="false">
      <c r="A8" s="20" t="s">
        <v>23</v>
      </c>
      <c r="B8" s="24"/>
      <c r="C8" s="24" t="n">
        <v>79096835</v>
      </c>
      <c r="D8" s="24" t="n">
        <v>49570000</v>
      </c>
      <c r="E8" s="15" t="n">
        <f aca="false">IF(OR(C8="",D8=""),"",D8/C8-1)</f>
        <v>-0.373299829253598</v>
      </c>
      <c r="F8" s="27" t="n">
        <f aca="false">IF(D8="","",D8/件數預估!F8)</f>
        <v>2478500</v>
      </c>
      <c r="G8" s="17" t="n">
        <f aca="false">件數預估!M8</f>
        <v>38</v>
      </c>
      <c r="H8" s="28" t="n">
        <f aca="false">IF(D8="","",ROUND(F8*G8,0))</f>
        <v>94183000</v>
      </c>
    </row>
    <row r="9" customFormat="false" ht="15" hidden="false" customHeight="false" outlineLevel="0" collapsed="false">
      <c r="A9" s="2" t="s">
        <v>24</v>
      </c>
      <c r="B9" s="24" t="n">
        <v>356718000</v>
      </c>
      <c r="C9" s="24" t="n">
        <v>438842069</v>
      </c>
      <c r="D9" s="24" t="n">
        <v>264510000</v>
      </c>
      <c r="E9" s="9" t="n">
        <f aca="false">IF(OR(C9="",D9=""),"",D9/C9-1)</f>
        <v>-0.397254687539995</v>
      </c>
      <c r="F9" s="25" t="n">
        <f aca="false">IF(D9="","",D9/件數預估!F9)</f>
        <v>15559411.7647059</v>
      </c>
      <c r="G9" s="11" t="n">
        <f aca="false">件數預估!M9</f>
        <v>28</v>
      </c>
      <c r="H9" s="26" t="n">
        <f aca="false">IF(D9="","",ROUND(F9*G9,0))</f>
        <v>435663529</v>
      </c>
    </row>
    <row r="10" customFormat="false" ht="15" hidden="false" customHeight="false" outlineLevel="0" collapsed="false">
      <c r="A10" s="20" t="s">
        <v>25</v>
      </c>
      <c r="B10" s="24" t="n">
        <v>35260000</v>
      </c>
      <c r="C10" s="24" t="n">
        <v>11450000</v>
      </c>
      <c r="D10" s="24" t="n">
        <v>61630000</v>
      </c>
      <c r="E10" s="15" t="n">
        <f aca="false">IF(OR(C10="",D10=""),"",D10/C10-1)</f>
        <v>4.3825327510917</v>
      </c>
      <c r="F10" s="27" t="n">
        <f aca="false">IF(D10="","",D10/件數預估!F10)</f>
        <v>4740769.23076923</v>
      </c>
      <c r="G10" s="17" t="n">
        <f aca="false">件數預估!M10</f>
        <v>48</v>
      </c>
      <c r="H10" s="28" t="n">
        <f aca="false">IF(D10="","",ROUND(F10*G10,0))</f>
        <v>227556923</v>
      </c>
    </row>
    <row r="11" customFormat="false" ht="15" hidden="false" customHeight="false" outlineLevel="0" collapsed="false">
      <c r="A11" s="2" t="s">
        <v>26</v>
      </c>
      <c r="B11" s="24" t="n">
        <v>225267342</v>
      </c>
      <c r="C11" s="24" t="n">
        <v>261091826</v>
      </c>
      <c r="D11" s="24" t="n">
        <v>121145000</v>
      </c>
      <c r="E11" s="9" t="n">
        <f aca="false">IF(OR(C11="",D11=""),"",D11/C11-1)</f>
        <v>-0.536006155933813</v>
      </c>
      <c r="F11" s="25" t="n">
        <f aca="false">IF(D11="","",D11/件數預估!F11)</f>
        <v>11013181.8181818</v>
      </c>
      <c r="G11" s="11" t="n">
        <f aca="false">件數預估!M11</f>
        <v>18</v>
      </c>
      <c r="H11" s="26" t="n">
        <f aca="false">IF(D11="","",ROUND(F11*G11,0))</f>
        <v>198237273</v>
      </c>
    </row>
    <row r="12" customFormat="false" ht="15" hidden="false" customHeight="false" outlineLevel="0" collapsed="false">
      <c r="A12" s="20" t="s">
        <v>27</v>
      </c>
      <c r="B12" s="24" t="n">
        <v>60466342</v>
      </c>
      <c r="C12" s="24" t="n">
        <v>70537600</v>
      </c>
      <c r="D12" s="24" t="n">
        <v>43816413</v>
      </c>
      <c r="E12" s="15" t="n">
        <f aca="false">IF(OR(C12="",D12=""),"",D12/C12-1)</f>
        <v>-0.378821890736288</v>
      </c>
      <c r="F12" s="27" t="n">
        <f aca="false">IF(D12="","",D12/件數預估!F12)</f>
        <v>3651367.75</v>
      </c>
      <c r="G12" s="17" t="n">
        <f aca="false">件數預估!M12</f>
        <v>19</v>
      </c>
      <c r="H12" s="28" t="n">
        <f aca="false">IF(D12="","",ROUND(F12*G12,0))</f>
        <v>69375987</v>
      </c>
    </row>
    <row r="13" customFormat="false" ht="15" hidden="false" customHeight="false" outlineLevel="0" collapsed="false">
      <c r="A13" s="2" t="s">
        <v>28</v>
      </c>
      <c r="B13" s="24" t="n">
        <v>8729823</v>
      </c>
      <c r="C13" s="24" t="n">
        <v>158373638</v>
      </c>
      <c r="D13" s="24" t="n">
        <v>32993160</v>
      </c>
      <c r="E13" s="9" t="n">
        <f aca="false">IF(OR(C13="",D13=""),"",D13/C13-1)</f>
        <v>-0.791675177658039</v>
      </c>
      <c r="F13" s="25" t="n">
        <f aca="false">IF(D13="","",D13/件數預估!F13)</f>
        <v>5498860</v>
      </c>
      <c r="G13" s="11" t="n">
        <f aca="false">件數預估!M13</f>
        <v>10</v>
      </c>
      <c r="H13" s="26" t="n">
        <f aca="false">IF(D13="","",ROUND(F13*G13,0))</f>
        <v>54988600</v>
      </c>
    </row>
    <row r="14" customFormat="false" ht="15" hidden="false" customHeight="false" outlineLevel="0" collapsed="false">
      <c r="A14" s="20" t="s">
        <v>29</v>
      </c>
      <c r="B14" s="24"/>
      <c r="C14" s="24"/>
      <c r="D14" s="24" t="n">
        <v>98761429</v>
      </c>
      <c r="E14" s="15" t="str">
        <f aca="false">IF(OR(C14="",D14=""),"",D14/C14-1)</f>
        <v/>
      </c>
      <c r="F14" s="27" t="n">
        <f aca="false">IF(D14="","",D14/件數預估!F14)</f>
        <v>19752285.8</v>
      </c>
      <c r="G14" s="17" t="n">
        <f aca="false">件數預估!M14</f>
        <v>15</v>
      </c>
      <c r="H14" s="28" t="n">
        <f aca="false">IF(D14="","",ROUND(F14*G14,0))</f>
        <v>296284287</v>
      </c>
    </row>
    <row r="15" customFormat="false" ht="15" hidden="false" customHeight="false" outlineLevel="0" collapsed="false">
      <c r="A15" s="2" t="s">
        <v>30</v>
      </c>
      <c r="B15" s="24" t="n">
        <v>79900000</v>
      </c>
      <c r="C15" s="24" t="n">
        <v>199731643</v>
      </c>
      <c r="D15" s="24" t="n">
        <v>11000000</v>
      </c>
      <c r="E15" s="9" t="n">
        <f aca="false">IF(OR(C15="",D15=""),"",D15/C15-1)</f>
        <v>-0.944926102670672</v>
      </c>
      <c r="F15" s="25" t="n">
        <f aca="false">IF(D15="","",D15/件數預估!F15)</f>
        <v>5500000</v>
      </c>
      <c r="G15" s="11" t="n">
        <f aca="false">件數預估!M15</f>
        <v>5</v>
      </c>
      <c r="H15" s="26" t="n">
        <f aca="false">IF(D15="","",ROUND(F15*G15,0))</f>
        <v>27500000</v>
      </c>
    </row>
    <row r="16" customFormat="false" ht="15" hidden="false" customHeight="false" outlineLevel="0" collapsed="false">
      <c r="A16" s="14" t="s">
        <v>31</v>
      </c>
      <c r="B16" s="24"/>
      <c r="C16" s="24"/>
      <c r="D16" s="24" t="n">
        <v>12300000</v>
      </c>
      <c r="E16" s="15" t="str">
        <f aca="false">IF(OR(C16="",D16=""),"",D16/C16-1)</f>
        <v/>
      </c>
      <c r="F16" s="27" t="n">
        <f aca="false">IF(D16="","",D16/件數預估!F16)</f>
        <v>6150000</v>
      </c>
      <c r="G16" s="17" t="n">
        <f aca="false">件數預估!M16</f>
        <v>7</v>
      </c>
      <c r="H16" s="28" t="n">
        <f aca="false">IF(D16="","",ROUND(F16*G16,0))</f>
        <v>43050000</v>
      </c>
    </row>
    <row r="17" customFormat="false" ht="15" hidden="false" customHeight="false" outlineLevel="0" collapsed="false">
      <c r="A17" s="2" t="s">
        <v>32</v>
      </c>
      <c r="B17" s="24" t="n">
        <v>10500000</v>
      </c>
      <c r="C17" s="24"/>
      <c r="D17" s="24" t="n">
        <v>1500000</v>
      </c>
      <c r="E17" s="9" t="str">
        <f aca="false">IF(OR(C17="",D17=""),"",D17/C17-1)</f>
        <v/>
      </c>
      <c r="F17" s="25" t="n">
        <f aca="false">IF(D17="","",D17/件數預估!F17)</f>
        <v>1500000</v>
      </c>
      <c r="G17" s="11" t="n">
        <f aca="false">件數預估!M17</f>
        <v>3</v>
      </c>
      <c r="H17" s="26" t="n">
        <f aca="false">IF(D17="","",ROUND(F17*G17,0))</f>
        <v>4500000</v>
      </c>
    </row>
    <row r="18" customFormat="false" ht="15" hidden="false" customHeight="false" outlineLevel="0" collapsed="false">
      <c r="A18" s="20" t="s">
        <v>33</v>
      </c>
      <c r="B18" s="24"/>
      <c r="C18" s="24"/>
      <c r="D18" s="24" t="n">
        <v>1750600</v>
      </c>
      <c r="E18" s="15" t="str">
        <f aca="false">IF(OR(C18="",D18=""),"",D18/C18-1)</f>
        <v/>
      </c>
      <c r="F18" s="27" t="n">
        <f aca="false">IF(D18="","",D18/件數預估!F18)</f>
        <v>1750600</v>
      </c>
      <c r="G18" s="17" t="n">
        <f aca="false">件數預估!M18</f>
        <v>2</v>
      </c>
      <c r="H18" s="28" t="n">
        <f aca="false">IF(D18="","",ROUND(F18*G18,0))</f>
        <v>3501200</v>
      </c>
    </row>
    <row r="19" customFormat="false" ht="15" hidden="false" customHeight="false" outlineLevel="0" collapsed="false">
      <c r="A19" s="2" t="s">
        <v>34</v>
      </c>
      <c r="B19" s="24"/>
      <c r="C19" s="24"/>
      <c r="D19" s="24"/>
      <c r="E19" s="9" t="str">
        <f aca="false">IF(OR(C19="",D19=""),"",D19/C19-1)</f>
        <v/>
      </c>
      <c r="F19" s="25" t="str">
        <f aca="false">IF(D19="","",D19/件數預估!F19)</f>
        <v/>
      </c>
      <c r="G19" s="11" t="n">
        <f aca="false">件數預估!M19</f>
        <v>0</v>
      </c>
      <c r="H19" s="26" t="str">
        <f aca="false">IF(D19="","",ROUND(F19*G19,0))</f>
        <v/>
      </c>
    </row>
    <row r="20" customFormat="false" ht="15" hidden="false" customHeight="false" outlineLevel="0" collapsed="false">
      <c r="A20" s="21" t="s">
        <v>35</v>
      </c>
      <c r="B20" s="29" t="n">
        <f aca="false">SUM(B5:B19)</f>
        <v>1096815774</v>
      </c>
      <c r="C20" s="29" t="n">
        <f aca="false">SUM(C5:C19)</f>
        <v>1774411982</v>
      </c>
      <c r="D20" s="29" t="n">
        <f aca="false">SUM(D5:D19)</f>
        <v>1726929388</v>
      </c>
      <c r="E20" s="23"/>
      <c r="F20" s="23"/>
      <c r="G20" s="23"/>
      <c r="H20" s="29" t="n">
        <f aca="false">SUM(H5:H19)</f>
        <v>3035433328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0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</row>
    <row r="4" customFormat="false" ht="30" hidden="false" customHeight="true" outlineLevel="0" collapsed="false">
      <c r="A4" s="6" t="s">
        <v>5</v>
      </c>
      <c r="B4" s="7" t="s">
        <v>8</v>
      </c>
      <c r="C4" s="7" t="s">
        <v>9</v>
      </c>
      <c r="D4" s="7" t="s">
        <v>10</v>
      </c>
      <c r="E4" s="7" t="s">
        <v>46</v>
      </c>
    </row>
    <row r="5" customFormat="false" ht="15" hidden="false" customHeight="false" outlineLevel="0" collapsed="false">
      <c r="A5" s="2" t="s">
        <v>20</v>
      </c>
      <c r="B5" s="30" t="n">
        <v>6.9</v>
      </c>
      <c r="C5" s="30" t="n">
        <v>6.5</v>
      </c>
      <c r="D5" s="30" t="n">
        <v>4.7</v>
      </c>
      <c r="E5" s="11" t="str">
        <f aca="false">IF(OR(C5="",D5=""),"—",IF(D5&lt;C5,"↓ 加快",IF(D5&gt;C5,"↑ 變慢","→ 持平")))</f>
        <v>↓ 加快</v>
      </c>
    </row>
    <row r="6" customFormat="false" ht="15" hidden="false" customHeight="false" outlineLevel="0" collapsed="false">
      <c r="A6" s="14" t="s">
        <v>21</v>
      </c>
      <c r="B6" s="30" t="n">
        <v>7.3</v>
      </c>
      <c r="C6" s="30" t="n">
        <v>2.6</v>
      </c>
      <c r="D6" s="30" t="n">
        <v>5.1</v>
      </c>
      <c r="E6" s="17" t="str">
        <f aca="false">IF(OR(C6="",D6=""),"—",IF(D6&lt;C6,"↓ 加快",IF(D6&gt;C6,"↑ 變慢","→ 持平")))</f>
        <v>↑ 變慢</v>
      </c>
    </row>
    <row r="7" customFormat="false" ht="15" hidden="false" customHeight="false" outlineLevel="0" collapsed="false">
      <c r="A7" s="2" t="s">
        <v>22</v>
      </c>
      <c r="B7" s="30" t="n">
        <v>7</v>
      </c>
      <c r="C7" s="30" t="n">
        <v>6</v>
      </c>
      <c r="D7" s="30" t="n">
        <v>6.9</v>
      </c>
      <c r="E7" s="11" t="str">
        <f aca="false">IF(OR(C7="",D7=""),"—",IF(D7&lt;C7,"↓ 加快",IF(D7&gt;C7,"↑ 變慢","→ 持平")))</f>
        <v>↑ 變慢</v>
      </c>
    </row>
    <row r="8" customFormat="false" ht="15" hidden="false" customHeight="false" outlineLevel="0" collapsed="false">
      <c r="A8" s="20" t="s">
        <v>23</v>
      </c>
      <c r="B8" s="30"/>
      <c r="C8" s="30" t="n">
        <v>3.5</v>
      </c>
      <c r="D8" s="30" t="n">
        <v>3.1</v>
      </c>
      <c r="E8" s="17" t="str">
        <f aca="false">IF(OR(C8="",D8=""),"—",IF(D8&lt;C8,"↓ 加快",IF(D8&gt;C8,"↑ 變慢","→ 持平")))</f>
        <v>↓ 加快</v>
      </c>
    </row>
    <row r="9" customFormat="false" ht="15" hidden="false" customHeight="false" outlineLevel="0" collapsed="false">
      <c r="A9" s="2" t="s">
        <v>24</v>
      </c>
      <c r="B9" s="30" t="n">
        <v>5.2</v>
      </c>
      <c r="C9" s="30" t="n">
        <v>6.4</v>
      </c>
      <c r="D9" s="30" t="n">
        <v>4</v>
      </c>
      <c r="E9" s="11" t="str">
        <f aca="false">IF(OR(C9="",D9=""),"—",IF(D9&lt;C9,"↓ 加快",IF(D9&gt;C9,"↑ 變慢","→ 持平")))</f>
        <v>↓ 加快</v>
      </c>
    </row>
    <row r="10" customFormat="false" ht="15" hidden="false" customHeight="false" outlineLevel="0" collapsed="false">
      <c r="A10" s="20" t="s">
        <v>25</v>
      </c>
      <c r="B10" s="30" t="n">
        <v>2.2</v>
      </c>
      <c r="C10" s="30" t="n">
        <v>5</v>
      </c>
      <c r="D10" s="30" t="n">
        <v>3.8</v>
      </c>
      <c r="E10" s="17" t="str">
        <f aca="false">IF(OR(C10="",D10=""),"—",IF(D10&lt;C10,"↓ 加快",IF(D10&gt;C10,"↑ 變慢","→ 持平")))</f>
        <v>↓ 加快</v>
      </c>
    </row>
    <row r="11" customFormat="false" ht="15" hidden="false" customHeight="false" outlineLevel="0" collapsed="false">
      <c r="A11" s="2" t="s">
        <v>26</v>
      </c>
      <c r="B11" s="30" t="n">
        <v>3.7</v>
      </c>
      <c r="C11" s="30" t="n">
        <v>3.6</v>
      </c>
      <c r="D11" s="30" t="n">
        <v>6</v>
      </c>
      <c r="E11" s="11" t="str">
        <f aca="false">IF(OR(C11="",D11=""),"—",IF(D11&lt;C11,"↓ 加快",IF(D11&gt;C11,"↑ 變慢","→ 持平")))</f>
        <v>↑ 變慢</v>
      </c>
    </row>
    <row r="12" customFormat="false" ht="15" hidden="false" customHeight="false" outlineLevel="0" collapsed="false">
      <c r="A12" s="20" t="s">
        <v>27</v>
      </c>
      <c r="B12" s="30" t="n">
        <v>5.5</v>
      </c>
      <c r="C12" s="30" t="n">
        <v>6.6</v>
      </c>
      <c r="D12" s="30" t="n">
        <v>3.7</v>
      </c>
      <c r="E12" s="17" t="str">
        <f aca="false">IF(OR(C12="",D12=""),"—",IF(D12&lt;C12,"↓ 加快",IF(D12&gt;C12,"↑ 變慢","→ 持平")))</f>
        <v>↓ 加快</v>
      </c>
    </row>
    <row r="13" customFormat="false" ht="15" hidden="false" customHeight="false" outlineLevel="0" collapsed="false">
      <c r="A13" s="2" t="s">
        <v>28</v>
      </c>
      <c r="B13" s="30" t="n">
        <v>6</v>
      </c>
      <c r="C13" s="30" t="n">
        <v>5</v>
      </c>
      <c r="D13" s="30" t="n">
        <v>3.7</v>
      </c>
      <c r="E13" s="11" t="str">
        <f aca="false">IF(OR(C13="",D13=""),"—",IF(D13&lt;C13,"↓ 加快",IF(D13&gt;C13,"↑ 變慢","→ 持平")))</f>
        <v>↓ 加快</v>
      </c>
    </row>
    <row r="14" customFormat="false" ht="15" hidden="false" customHeight="false" outlineLevel="0" collapsed="false">
      <c r="A14" s="20" t="s">
        <v>29</v>
      </c>
      <c r="B14" s="30"/>
      <c r="C14" s="30"/>
      <c r="D14" s="30" t="n">
        <v>3</v>
      </c>
      <c r="E14" s="17" t="str">
        <f aca="false">IF(OR(C14="",D14=""),"—",IF(D14&lt;C14,"↓ 加快",IF(D14&gt;C14,"↑ 變慢","→ 持平")))</f>
        <v>—</v>
      </c>
    </row>
    <row r="15" customFormat="false" ht="15" hidden="false" customHeight="false" outlineLevel="0" collapsed="false">
      <c r="A15" s="2" t="s">
        <v>30</v>
      </c>
      <c r="B15" s="30" t="n">
        <v>5.4</v>
      </c>
      <c r="C15" s="30" t="n">
        <v>3.6</v>
      </c>
      <c r="D15" s="30" t="n">
        <v>5.5</v>
      </c>
      <c r="E15" s="11" t="str">
        <f aca="false">IF(OR(C15="",D15=""),"—",IF(D15&lt;C15,"↓ 加快",IF(D15&gt;C15,"↑ 變慢","→ 持平")))</f>
        <v>↑ 變慢</v>
      </c>
    </row>
    <row r="16" customFormat="false" ht="15" hidden="false" customHeight="false" outlineLevel="0" collapsed="false">
      <c r="A16" s="14" t="s">
        <v>31</v>
      </c>
      <c r="B16" s="30"/>
      <c r="C16" s="30"/>
      <c r="D16" s="30" t="n">
        <v>11.5</v>
      </c>
      <c r="E16" s="17" t="str">
        <f aca="false">IF(OR(C16="",D16=""),"—",IF(D16&lt;C16,"↓ 加快",IF(D16&gt;C16,"↑ 變慢","→ 持平")))</f>
        <v>—</v>
      </c>
    </row>
    <row r="17" customFormat="false" ht="15" hidden="false" customHeight="false" outlineLevel="0" collapsed="false">
      <c r="A17" s="2" t="s">
        <v>32</v>
      </c>
      <c r="B17" s="30" t="n">
        <v>5</v>
      </c>
      <c r="C17" s="30"/>
      <c r="D17" s="30" t="n">
        <v>7</v>
      </c>
      <c r="E17" s="11" t="str">
        <f aca="false">IF(OR(C17="",D17=""),"—",IF(D17&lt;C17,"↓ 加快",IF(D17&gt;C17,"↑ 變慢","→ 持平")))</f>
        <v>—</v>
      </c>
    </row>
    <row r="18" customFormat="false" ht="15" hidden="false" customHeight="false" outlineLevel="0" collapsed="false">
      <c r="A18" s="20" t="s">
        <v>33</v>
      </c>
      <c r="B18" s="30"/>
      <c r="C18" s="30"/>
      <c r="D18" s="30" t="n">
        <v>1</v>
      </c>
      <c r="E18" s="17" t="str">
        <f aca="false">IF(OR(C18="",D18=""),"—",IF(D18&lt;C18,"↓ 加快",IF(D18&gt;C18,"↑ 變慢","→ 持平")))</f>
        <v>—</v>
      </c>
    </row>
    <row r="19" customFormat="false" ht="15" hidden="false" customHeight="false" outlineLevel="0" collapsed="false">
      <c r="A19" s="2" t="s">
        <v>34</v>
      </c>
      <c r="B19" s="30"/>
      <c r="C19" s="30"/>
      <c r="D19" s="30"/>
      <c r="E19" s="11" t="str">
        <f aca="false">IF(OR(C19="",D19=""),"—",IF(D19&lt;C19,"↓ 加快",IF(D19&gt;C19,"↑ 變慢","→ 持平")))</f>
        <v>—</v>
      </c>
    </row>
    <row r="21" customFormat="false" ht="15" hidden="false" customHeight="false" outlineLevel="0" collapsed="false">
      <c r="A21" s="5" t="s">
        <v>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31" t="s">
        <v>48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49</v>
      </c>
    </row>
    <row r="4" customFormat="false" ht="15" hidden="false" customHeight="false" outlineLevel="0" collapsed="false">
      <c r="A4" s="32"/>
    </row>
    <row r="5" customFormat="false" ht="17.15" hidden="false" customHeight="false" outlineLevel="0" collapsed="false">
      <c r="A5" s="34" t="s">
        <v>50</v>
      </c>
    </row>
    <row r="6" customFormat="false" ht="15" hidden="false" customHeight="false" outlineLevel="0" collapsed="false">
      <c r="A6" s="35" t="s">
        <v>51</v>
      </c>
    </row>
    <row r="7" customFormat="false" ht="15" hidden="false" customHeight="false" outlineLevel="0" collapsed="false">
      <c r="A7" s="36" t="s">
        <v>52</v>
      </c>
    </row>
    <row r="8" customFormat="false" ht="15" hidden="false" customHeight="false" outlineLevel="0" collapsed="false">
      <c r="A8" s="36"/>
    </row>
    <row r="9" customFormat="false" ht="17.15" hidden="false" customHeight="false" outlineLevel="0" collapsed="false">
      <c r="A9" s="34" t="s">
        <v>53</v>
      </c>
    </row>
    <row r="10" customFormat="false" ht="15" hidden="false" customHeight="false" outlineLevel="0" collapsed="false">
      <c r="A10" s="35" t="s">
        <v>54</v>
      </c>
    </row>
    <row r="11" customFormat="false" ht="15" hidden="false" customHeight="false" outlineLevel="0" collapsed="false">
      <c r="A11" s="33" t="s">
        <v>55</v>
      </c>
    </row>
    <row r="12" customFormat="false" ht="15" hidden="false" customHeight="false" outlineLevel="0" collapsed="false">
      <c r="A12" s="36" t="s">
        <v>56</v>
      </c>
    </row>
    <row r="13" customFormat="false" ht="15" hidden="false" customHeight="false" outlineLevel="0" collapsed="false">
      <c r="A13" s="36"/>
    </row>
    <row r="14" customFormat="false" ht="17.15" hidden="false" customHeight="false" outlineLevel="0" collapsed="false">
      <c r="A14" s="34" t="s">
        <v>57</v>
      </c>
    </row>
    <row r="15" customFormat="false" ht="15" hidden="false" customHeight="false" outlineLevel="0" collapsed="false">
      <c r="A15" s="33" t="s">
        <v>58</v>
      </c>
    </row>
    <row r="16" customFormat="false" ht="15" hidden="false" customHeight="false" outlineLevel="0" collapsed="false">
      <c r="A16" s="36" t="s">
        <v>59</v>
      </c>
    </row>
    <row r="17" customFormat="false" ht="15" hidden="false" customHeight="false" outlineLevel="0" collapsed="false">
      <c r="A17" s="36"/>
    </row>
    <row r="18" customFormat="false" ht="17.15" hidden="false" customHeight="false" outlineLevel="0" collapsed="false">
      <c r="A18" s="34" t="s">
        <v>60</v>
      </c>
    </row>
    <row r="19" customFormat="false" ht="15" hidden="false" customHeight="false" outlineLevel="0" collapsed="false">
      <c r="A19" s="36" t="s">
        <v>61</v>
      </c>
    </row>
    <row r="20" customFormat="false" ht="15" hidden="false" customHeight="false" outlineLevel="0" collapsed="false">
      <c r="A20" s="36"/>
    </row>
    <row r="21" customFormat="false" ht="17.15" hidden="false" customHeight="false" outlineLevel="0" collapsed="false">
      <c r="A21" s="37" t="s">
        <v>62</v>
      </c>
    </row>
    <row r="22" customFormat="false" ht="15" hidden="false" customHeight="false" outlineLevel="0" collapsed="false">
      <c r="A22" s="36" t="s">
        <v>63</v>
      </c>
    </row>
    <row r="23" customFormat="false" ht="15" hidden="false" customHeight="false" outlineLevel="0" collapsed="false">
      <c r="A23" s="36" t="s">
        <v>64</v>
      </c>
    </row>
    <row r="24" customFormat="false" ht="15" hidden="false" customHeight="false" outlineLevel="0" collapsed="false">
      <c r="A24" s="36"/>
    </row>
    <row r="25" customFormat="false" ht="17.15" hidden="false" customHeight="false" outlineLevel="0" collapsed="false">
      <c r="A25" s="34" t="s">
        <v>65</v>
      </c>
    </row>
    <row r="26" customFormat="false" ht="15" hidden="false" customHeight="false" outlineLevel="0" collapsed="false">
      <c r="A26" s="36" t="s">
        <v>66</v>
      </c>
    </row>
    <row r="27" customFormat="false" ht="15" hidden="false" customHeight="false" outlineLevel="0" collapsed="false">
      <c r="A27" s="36" t="s">
        <v>67</v>
      </c>
    </row>
    <row r="28" customFormat="false" ht="15" hidden="false" customHeight="false" outlineLevel="0" collapsed="false">
      <c r="A28" s="36"/>
    </row>
    <row r="29" customFormat="false" ht="17.15" hidden="false" customHeight="false" outlineLevel="0" collapsed="false">
      <c r="A29" s="34" t="s">
        <v>68</v>
      </c>
    </row>
    <row r="30" customFormat="false" ht="15" hidden="false" customHeight="false" outlineLevel="0" collapsed="false">
      <c r="A30" s="36" t="s">
        <v>69</v>
      </c>
    </row>
    <row r="31" customFormat="false" ht="15" hidden="false" customHeight="false" outlineLevel="0" collapsed="false">
      <c r="A31" s="36" t="s">
        <v>70</v>
      </c>
    </row>
    <row r="32" customFormat="false" ht="15" hidden="false" customHeight="false" outlineLevel="0" collapsed="false">
      <c r="A32" s="36" t="s">
        <v>71</v>
      </c>
    </row>
    <row r="33" customFormat="false" ht="15" hidden="false" customHeight="false" outlineLevel="0" collapsed="false">
      <c r="A33" s="36" t="s">
        <v>72</v>
      </c>
    </row>
    <row r="34" customFormat="false" ht="15" hidden="false" customHeight="false" outlineLevel="0" collapsed="false">
      <c r="A34" s="36" t="s">
        <v>73</v>
      </c>
    </row>
    <row r="35" customFormat="false" ht="15" hidden="false" customHeight="false" outlineLevel="0" collapsed="false">
      <c r="A35" s="36"/>
    </row>
    <row r="36" customFormat="false" ht="17.15" hidden="false" customHeight="false" outlineLevel="0" collapsed="false">
      <c r="A36" s="34" t="s">
        <v>74</v>
      </c>
    </row>
    <row r="37" customFormat="false" ht="15" hidden="false" customHeight="false" outlineLevel="0" collapsed="false">
      <c r="A37" s="32" t="s">
        <v>75</v>
      </c>
    </row>
    <row r="38" customFormat="false" ht="15" hidden="false" customHeight="false" outlineLevel="0" collapsed="false">
      <c r="A38" s="32" t="s">
        <v>76</v>
      </c>
    </row>
    <row r="39" customFormat="false" ht="15" hidden="false" customHeight="false" outlineLevel="0" collapsed="false">
      <c r="A39" s="32" t="s">
        <v>77</v>
      </c>
    </row>
    <row r="40" customFormat="false" ht="15" hidden="false" customHeight="false" outlineLevel="0" collapsed="false">
      <c r="A40" s="32" t="s">
        <v>78</v>
      </c>
    </row>
    <row r="41" customFormat="false" ht="15" hidden="false" customHeight="false" outlineLevel="0" collapsed="false">
      <c r="A41" s="3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2026-08-05T05:26:40Z</dcterms:created>
  <dc:creator>openpyxl</dc:creator>
  <dc:description/>
  <dc:language>en-US</dc:language>
  <cp:lastModifiedBy/>
  <dcterms:modified xsi:type="dcterms:W3CDTF">2026-08-05T05:26:40Z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